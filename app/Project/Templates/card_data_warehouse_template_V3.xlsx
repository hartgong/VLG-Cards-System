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51e907cd8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01fdef0f1a744d2d"/>
    <x:sheet xmlns:r="http://schemas.openxmlformats.org/officeDocument/2006/relationships" name="SKU_Master" sheetId="2" r:id="Rac8cba9e3e964116"/>
    <x:sheet xmlns:r="http://schemas.openxmlformats.org/officeDocument/2006/relationships" name="Purchase_Inbound" sheetId="3" r:id="R5fbe6ccf23f44303"/>
    <x:sheet xmlns:r="http://schemas.openxmlformats.org/officeDocument/2006/relationships" name="Inventory_Ledger" sheetId="4" r:id="Rb9952d3508a74f7e"/>
    <x:sheet xmlns:r="http://schemas.openxmlformats.org/officeDocument/2006/relationships" name="Current_Inventory" sheetId="5" r:id="Ra474dca37c8d4363"/>
    <x:sheet xmlns:r="http://schemas.openxmlformats.org/officeDocument/2006/relationships" name="Order_Master" sheetId="6" r:id="Rd67e3fe35c1349a6"/>
    <x:sheet xmlns:r="http://schemas.openxmlformats.org/officeDocument/2006/relationships" name="Order_Line" sheetId="7" r:id="R238dc9881ea54615"/>
    <x:sheet xmlns:r="http://schemas.openxmlformats.org/officeDocument/2006/relationships" name="Import_Log" sheetId="8" r:id="R92112573a0f54ce5"/>
    <x:sheet xmlns:r="http://schemas.openxmlformats.org/officeDocument/2006/relationships" name="Exception_Log" sheetId="9" r:id="R5f8c306f2de34c01"/>
    <x:sheet xmlns:r="http://schemas.openxmlformats.org/officeDocument/2006/relationships" name="Field_Dictionary" sheetId="10" r:id="R98a5985e77ee4f26"/>
    <x:sheet xmlns:r="http://schemas.openxmlformats.org/officeDocument/2006/relationships" name="README" sheetId="11" r:id="R41d8944a742b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000"/>
    <x:numFmt numFmtId="202" formatCode="yyyy-mm-dd"/>
    <x:numFmt numFmtId="203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1F4E7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horizontal="center" vertical="center" wrapText="1"/>
    </x:xf>
    <x:xf numFmtId="203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17f9179a140f6" /><Relationship Type="http://schemas.openxmlformats.org/officeDocument/2006/relationships/theme" Target="/xl/theme/theme1.xml" Id="R3f7ae5c261c24c87" /><Relationship Type="http://schemas.openxmlformats.org/officeDocument/2006/relationships/sharedStrings" Target="/xl/sharedStrings.xml" Id="Rd94a4ba5d8254ae6" /><Relationship Type="http://schemas.openxmlformats.org/officeDocument/2006/relationships/worksheet" Target="/xl/worksheets/sheet1.xml" Id="R01fdef0f1a744d2d" /><Relationship Type="http://schemas.openxmlformats.org/officeDocument/2006/relationships/worksheet" Target="/xl/worksheets/sheet2.xml" Id="Rac8cba9e3e964116" /><Relationship Type="http://schemas.openxmlformats.org/officeDocument/2006/relationships/worksheet" Target="/xl/worksheets/sheet3.xml" Id="R5fbe6ccf23f44303" /><Relationship Type="http://schemas.openxmlformats.org/officeDocument/2006/relationships/worksheet" Target="/xl/worksheets/sheet4.xml" Id="Rb9952d3508a74f7e" /><Relationship Type="http://schemas.openxmlformats.org/officeDocument/2006/relationships/worksheet" Target="/xl/worksheets/sheet5.xml" Id="Ra474dca37c8d4363" /><Relationship Type="http://schemas.openxmlformats.org/officeDocument/2006/relationships/worksheet" Target="/xl/worksheets/sheet6.xml" Id="Rd67e3fe35c1349a6" /><Relationship Type="http://schemas.openxmlformats.org/officeDocument/2006/relationships/worksheet" Target="/xl/worksheets/sheet7.xml" Id="R238dc9881ea54615" /><Relationship Type="http://schemas.openxmlformats.org/officeDocument/2006/relationships/worksheet" Target="/xl/worksheets/sheet8.xml" Id="R92112573a0f54ce5" /><Relationship Type="http://schemas.openxmlformats.org/officeDocument/2006/relationships/worksheet" Target="/xl/worksheets/sheet9.xml" Id="R5f8c306f2de34c01" /><Relationship Type="http://schemas.openxmlformats.org/officeDocument/2006/relationships/worksheet" Target="/xl/worksheets/sheet10.xml" Id="R98a5985e77ee4f26" /><Relationship Type="http://schemas.openxmlformats.org/officeDocument/2006/relationships/worksheet" Target="/xl/worksheets/sheet11.xml" Id="R41d8944a742b483c" /></Relationships>
</file>

<file path=xl/tables/table1.xml><?xml version="1.0" encoding="utf-8"?>
<x:table xmlns:x="http://schemas.openxmlformats.org/spreadsheetml/2006/main" id="1" name="ConfigTable" displayName="ConfigTable" ref="A1:C6" headerRowCount="1">
  <x:tableColumns count="3">
    <x:tableColumn id="1" name="Parameter"/>
    <x:tableColumn id="2" name="Value"/>
    <x:tableColumn id="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SKUMasterTable" displayName="SKUMasterTable" ref="A1:H28" headerRowCount="1">
  <x:tableColumns count="8">
    <x:tableColumn id="1" name="SKU_ID"/>
    <x:tableColumn id="2" name="SKU_Name"/>
    <x:tableColumn id="3" name="Min_Sales_Unit_Spec"/>
    <x:tableColumn id="4" name="Standard_Price_USD"/>
    <x:tableColumn id="5" name="Weight_KG"/>
    <x:tableColumn id="6" name="Weight_LB"/>
    <x:tableColumn id="7" name="Product_Note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PurchaseInboundTable" displayName="PurchaseInboundTable" ref="A1:K4" headerRowCount="1">
  <x:tableColumns count="11">
    <x:tableColumn id="1" name="Purchase_ID"/>
    <x:tableColumn id="2" name="Purchase_Date"/>
    <x:tableColumn id="3" name="Supplier"/>
    <x:tableColumn id="4" name="SKU_ID"/>
    <x:tableColumn id="5" name="Product_Name"/>
    <x:tableColumn id="6" name="Purchase_Qty"/>
    <x:tableColumn id="7" name="Unit_Cost_USD"/>
    <x:tableColumn id="8" name="Total_Cost_USD"/>
    <x:tableColumn id="9" name="Warehouse"/>
    <x:tableColumn id="10" name="Status"/>
    <x:tableColumn id="11" name="Remar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LedgerTable" displayName="InventoryLedgerTable" ref="A1:Q5" headerRowCount="1">
  <x:tableColumns count="17">
    <x:tableColumn id="1" name="Inventory_Txn_ID"/>
    <x:tableColumn id="2" name="Txn_Date"/>
    <x:tableColumn id="3" name="SKU_ID"/>
    <x:tableColumn id="4" name="SKU_Name"/>
    <x:tableColumn id="5" name="Txn_Type"/>
    <x:tableColumn id="6" name="Qty_In"/>
    <x:tableColumn id="7" name="Qty_Out"/>
    <x:tableColumn id="8" name="Qty_Net"/>
    <x:tableColumn id="9" name="Unit_Cost_USD"/>
    <x:tableColumn id="10" name="Amount_USD"/>
    <x:tableColumn id="11" name="Related_Doc_ID"/>
    <x:tableColumn id="12" name="Related_Order_ID"/>
    <x:tableColumn id="13" name="Platform"/>
    <x:tableColumn id="14" name="Company_Code"/>
    <x:tableColumn id="15" name="Host_Name"/>
    <x:tableColumn id="16" name="Source"/>
    <x:tableColumn id="17" name="Remark"/>
  </x:tableColumns>
  <x:tableStyleInfo name="TableStyleMedium2" showRowStripes="1"/>
</x:table>
</file>

<file path=xl/tables/table5.xml><?xml version="1.0" encoding="utf-8"?>
<x:table xmlns:x="http://schemas.openxmlformats.org/spreadsheetml/2006/main" id="5" name="CurrentInventoryTable" displayName="CurrentInventoryTable" ref="A1:N28" headerRowCount="1">
  <x:tableColumns count="14">
    <x:tableColumn id="1" name="SKU_ID"/>
    <x:tableColumn id="2" name="SKU_Name"/>
    <x:tableColumn id="3" name="Min_Sales_Unit_Spec"/>
    <x:tableColumn id="4" name="Standard_Price_USD"/>
    <x:tableColumn id="5" name="Weight_KG"/>
    <x:tableColumn id="6" name="Weight_LB"/>
    <x:tableColumn id="7" name="Purchase_In_Qty"/>
    <x:tableColumn id="8" name="Sales_Out_Qty"/>
    <x:tableColumn id="9" name="Adjustment_Qty"/>
    <x:tableColumn id="10" name="Current_Qty"/>
    <x:tableColumn id="11" name="Avg_Unit_Cost_USD"/>
    <x:tableColumn id="12" name="Inventory_Value_USD"/>
    <x:tableColumn id="13" name="Inventory_Status"/>
    <x:tableColumn id="14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OrderMasterTable" displayName="OrderMasterTable" ref="A1:Y2" headerRowCount="1">
  <x:tableColumns count="25">
    <x:tableColumn id="1" name="Platform"/>
    <x:tableColumn id="2" name="Shop_Name"/>
    <x:tableColumn id="3" name="Order ID"/>
    <x:tableColumn id="4" name="Standard_Order_ID"/>
    <x:tableColumn id="5" name="Order Status"/>
    <x:tableColumn id="6" name="Created Time Raw"/>
    <x:tableColumn id="7" name="Created Time UTC"/>
    <x:tableColumn id="8" name="Created Time Business TZ"/>
    <x:tableColumn id="9" name="Source_Timezone"/>
    <x:tableColumn id="10" name="Parsed_Time_Status"/>
    <x:tableColumn id="11" name="Order Amount_USD"/>
    <x:tableColumn id="12" name="Order Refund Amount_USD"/>
    <x:tableColumn id="13" name="Buyer Username"/>
    <x:tableColumn id="14" name="Country"/>
    <x:tableColumn id="15" name="State"/>
    <x:tableColumn id="16" name="City"/>
    <x:tableColumn id="17" name="Weight_KG"/>
    <x:tableColumn id="18" name="Seller Note Raw"/>
    <x:tableColumn id="19" name="Company_Code"/>
    <x:tableColumn id="20" name="Host_Name"/>
    <x:tableColumn id="21" name="Seller_Note_Parse_Status"/>
    <x:tableColumn id="22" name="Seller_Note_Parse_Note"/>
    <x:tableColumn id="23" name="Import Batch ID"/>
    <x:tableColumn id="24" name="Source File"/>
    <x:tableColumn id="25" name="Data Quality Flag"/>
  </x:tableColumns>
  <x:tableStyleInfo name="TableStyleMedium2" showRowStripes="1"/>
</x:table>
</file>

<file path=xl/tables/table7.xml><?xml version="1.0" encoding="utf-8"?>
<x:table xmlns:x="http://schemas.openxmlformats.org/spreadsheetml/2006/main" id="7" name="OrderLineTable" displayName="OrderLineTable" ref="A1:S2" headerRowCount="1">
  <x:tableColumns count="19">
    <x:tableColumn id="1" name="Order_Line_ID"/>
    <x:tableColumn id="2" name="Platform"/>
    <x:tableColumn id="3" name="Shop_Name"/>
    <x:tableColumn id="4" name="Standard_Order_ID"/>
    <x:tableColumn id="5" name="Order ID"/>
    <x:tableColumn id="6" name="Company_Code"/>
    <x:tableColumn id="7" name="Host_Name"/>
    <x:tableColumn id="8" name="SKU_ID"/>
    <x:tableColumn id="9" name="SKU_Name"/>
    <x:tableColumn id="10" name="Quantity"/>
    <x:tableColumn id="11" name="Unit_Price_USD"/>
    <x:tableColumn id="12" name="Line_GMV_USD"/>
    <x:tableColumn id="13" name="Unit_Cost_USD"/>
    <x:tableColumn id="14" name="Total_Product_Cost_USD"/>
    <x:tableColumn id="15" name="Seller_Note_Line"/>
    <x:tableColumn id="16" name="Parse_Source"/>
    <x:tableColumn id="17" name="Parse_Status"/>
    <x:tableColumn id="18" name="Parse_Note"/>
    <x:tableColumn id="19" name="Import Batch ID"/>
  </x:tableColumns>
  <x:tableStyleInfo name="TableStyleMedium2" showRowStripes="1"/>
</x:table>
</file>

<file path=xl/tables/table8.xml><?xml version="1.0" encoding="utf-8"?>
<x:table xmlns:x="http://schemas.openxmlformats.org/spreadsheetml/2006/main" id="8" name="ImportLogTable" displayName="ImportLogTable" ref="A1:K2" headerRowCount="1">
  <x:tableColumns count="11">
    <x:tableColumn id="1" name="Import_Batch_ID"/>
    <x:tableColumn id="2" name="Import_Type"/>
    <x:tableColumn id="3" name="Platform"/>
    <x:tableColumn id="4" name="Source_File"/>
    <x:tableColumn id="5" name="Import_Time"/>
    <x:tableColumn id="6" name="Source_Row_Count"/>
    <x:tableColumn id="7" name="Success_Row_Count"/>
    <x:tableColumn id="8" name="Failed_Row_Count"/>
    <x:tableColumn id="9" name="Duplicate_Row_Count"/>
    <x:tableColumn id="10" name="Import_Status"/>
    <x:tableColumn id="11" name="Error_Message"/>
  </x:tableColumns>
  <x:tableStyleInfo name="TableStyleMedium2" showRowStripes="1"/>
</x:table>
</file>

<file path=xl/tables/table9.xml><?xml version="1.0" encoding="utf-8"?>
<x:table xmlns:x="http://schemas.openxmlformats.org/spreadsheetml/2006/main" id="9" name="ExceptionLogTable" displayName="ExceptionLogTable" ref="A1:I2" headerRowCount="1">
  <x:tableColumns count="9">
    <x:tableColumn id="1" name="Exception_ID"/>
    <x:tableColumn id="2" name="Import Batch ID"/>
    <x:tableColumn id="3" name="Module"/>
    <x:tableColumn id="4" name="Severity"/>
    <x:tableColumn id="5" name="Object_Type"/>
    <x:tableColumn id="6" name="Object_ID"/>
    <x:tableColumn id="7" name="Exception_Type"/>
    <x:tableColumn id="8" name="Exception_Detail"/>
    <x:tableColumn id="9" name="Suggested_Action"/>
  </x:tableColumns>
  <x:tableStyleInfo name="TableStyleMedium2" showRowStripes="1"/>
</x:table>
</file>

<file path=xl/tables/table10.xml><?xml version="1.0" encoding="utf-8"?>
<x:table xmlns:x="http://schemas.openxmlformats.org/spreadsheetml/2006/main" id="10" name="FieldDictTable" displayName="FieldDictTable" ref="A1:D7" headerRowCount="1">
  <x:tableColumns count="4">
    <x:tableColumn id="1" name="Sheet"/>
    <x:tableColumn id="2" name="Field"/>
    <x:tableColumn id="3" name="Meaning"/>
    <x:tableColumn id="4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4cb48943e54a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addb79f0db4c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387f42444d4c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afab4eddb444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ddd20d2e6ef4e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24cf108528448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73ab3f8791046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0271aee1ace47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e58d290d519413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d6f657a8db54fe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</x:cols>
  <x:sheetData>
    <x:row r="1" ht="28" customHeight="1">
      <x:c r="A1" s="6" t="str">
        <x:v>Parameter</x:v>
      </x:c>
      <x:c r="B1" s="6" t="str">
        <x:v>Value</x:v>
      </x:c>
      <x:c r="C1" s="6" t="str">
        <x:v>Note</x:v>
      </x:c>
    </x:row>
    <x:row r="2">
      <x:c r="A2" s="12" t="str">
        <x:v>System_Version</x:v>
      </x:c>
      <x:c r="B2" s="12" t="str">
        <x:v>v3_simple_sku_unit</x:v>
      </x:c>
      <x:c r="C2" s="12" t="str">
        <x:v>简化SKU销售单位口径</x:v>
      </x:c>
    </x:row>
    <x:row r="3">
      <x:c r="A3" s="12" t="str">
        <x:v>Currency</x:v>
      </x:c>
      <x:c r="B3" s="12" t="str">
        <x:v>USD</x:v>
      </x:c>
      <x:c r="C3" s="12" t="str">
        <x:v>本系统基础金额统一按美元</x:v>
      </x:c>
    </x:row>
    <x:row r="4">
      <x:c r="A4" s="12" t="str">
        <x:v>Business_Timezone</x:v>
      </x:c>
      <x:c r="B4" s="12" t="str">
        <x:v>America/Los_Angeles</x:v>
      </x:c>
      <x:c r="C4" s="12" t="str">
        <x:v>订单、直播、结算统一分析时区</x:v>
      </x:c>
    </x:row>
    <x:row r="5">
      <x:c r="A5" s="12" t="str">
        <x:v>Seller_Note_Rule</x:v>
      </x:c>
      <x:c r="B5" s="12" t="str">
        <x:v>Line1=Company; Line2=Host; Line3+=SKU Quantity</x:v>
      </x:c>
      <x:c r="C5" s="12" t="str">
        <x:v>Seller Note数量=SKU数量，不再折算箱/盒/包</x:v>
      </x:c>
    </x:row>
    <x:row r="6">
      <x:c r="A6" s="12" t="str">
        <x:v>Inventory_Rule</x:v>
      </x:c>
      <x:c r="B6" s="12" t="str">
        <x:v>Current Qty = SUM(Inventory_Ledger[Qty_Net])</x:v>
      </x:c>
      <x:c r="C6" s="12" t="str">
        <x:v>库存按SKU直接计数</x:v>
      </x:c>
    </x:row>
  </x:sheetData>
  <x:pageMargins left="0.7" right="0.7" top="0.75" bottom="0.75" header="0.3" footer="0.3"/>
  <x:tableParts count="1">
    <x:tablePart xmlns:r="http://schemas.openxmlformats.org/officeDocument/2006/relationships" r:id="Rb84cb48943e54a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14" hidden="0" customWidth="1"/>
  </x:cols>
  <x:sheetData>
    <x:row r="1" ht="28" customHeight="1">
      <x:c r="A1" s="6" t="str">
        <x:v>SKU_ID</x:v>
      </x:c>
      <x:c r="B1" s="6" t="str">
        <x:v>SKU_Name</x:v>
      </x:c>
      <x:c r="C1" s="6" t="str">
        <x:v>Min_Sales_Unit_Spec</x:v>
      </x:c>
      <x:c r="D1" s="14" t="str">
        <x:v>Standard_Price_USD</x:v>
      </x:c>
      <x:c r="E1" s="16" t="str">
        <x:v>Weight_KG</x:v>
      </x:c>
      <x:c r="F1" s="16" t="str">
        <x:v>Weight_LB</x:v>
      </x:c>
      <x:c r="G1" s="6" t="str">
        <x:v>Product_Note</x:v>
      </x:c>
      <x:c r="H1" s="6" t="str">
        <x:v>Status</x:v>
      </x:c>
    </x:row>
    <x:row r="2">
      <x:c r="A2" s="12" t="str">
        <x:v>24.1.0004</x:v>
      </x:c>
      <x:c r="B2" s="12" t="str">
        <x:v>Gem Pack 2.0宝石包 2.0</x:v>
      </x:c>
      <x:c r="C2" s="12" t="str"/>
      <x:c r="D2" s="12"/>
      <x:c r="E2" s="12" t="n">
        <x:v>0.01</x:v>
      </x:c>
      <x:c r="F2" s="12" t="n">
        <x:v>0.022</x:v>
      </x:c>
      <x:c r="G2" s="12" t="str">
        <x:v>销售单位由SKU本身定义；不同平台若销售单位不同，请新建SKU</x:v>
      </x:c>
      <x:c r="H2" s="12" t="str">
        <x:v>Active</x:v>
      </x:c>
    </x:row>
    <x:row r="3">
      <x:c r="A3" s="12" t="str">
        <x:v>24.1.0006</x:v>
      </x:c>
      <x:c r="B3" s="12" t="str">
        <x:v>Gem Pack 3.0宝石包3.0</x:v>
      </x:c>
      <x:c r="C3" s="12" t="str"/>
      <x:c r="D3" s="12"/>
      <x:c r="E3" s="12" t="n">
        <x:v>0.01</x:v>
      </x:c>
      <x:c r="F3" s="12" t="n">
        <x:v>0.022</x:v>
      </x:c>
      <x:c r="G3" s="12" t="str">
        <x:v>销售单位由SKU本身定义；不同平台若销售单位不同，请新建SKU</x:v>
      </x:c>
      <x:c r="H3" s="12" t="str">
        <x:v>Active</x:v>
      </x:c>
    </x:row>
    <x:row r="4">
      <x:c r="A4" s="12" t="str">
        <x:v>24.1.0008</x:v>
      </x:c>
      <x:c r="B4" s="12" t="str">
        <x:v>Gem Pack 4.0宝石包4.0</x:v>
      </x:c>
      <x:c r="C4" s="12" t="str"/>
      <x:c r="D4" s="12"/>
      <x:c r="E4" s="12" t="n">
        <x:v>0.01</x:v>
      </x:c>
      <x:c r="F4" s="12" t="n">
        <x:v>0.022</x:v>
      </x:c>
      <x:c r="G4" s="12" t="str">
        <x:v>销售单位由SKU本身定义；不同平台若销售单位不同，请新建SKU</x:v>
      </x:c>
      <x:c r="H4" s="12" t="str">
        <x:v>Active</x:v>
      </x:c>
    </x:row>
    <x:row r="5">
      <x:c r="A5" s="12" t="str">
        <x:v>24.1.0010</x:v>
      </x:c>
      <x:c r="B5" s="12" t="str">
        <x:v>Gem Pack 5.0宝石包5.0</x:v>
      </x:c>
      <x:c r="C5" s="12" t="str"/>
      <x:c r="D5" s="12"/>
      <x:c r="E5" s="12" t="n">
        <x:v>0.01</x:v>
      </x:c>
      <x:c r="F5" s="12" t="n">
        <x:v>0.022</x:v>
      </x:c>
      <x:c r="G5" s="12" t="str">
        <x:v>销售单位由SKU本身定义；不同平台若销售单位不同，请新建SKU</x:v>
      </x:c>
      <x:c r="H5" s="12" t="str">
        <x:v>Active</x:v>
      </x:c>
    </x:row>
    <x:row r="6">
      <x:c r="A6" s="12" t="str">
        <x:v>24.2.0001</x:v>
      </x:c>
      <x:c r="B6" s="12" t="str">
        <x:v>Pokémon Badge宝可梦徽章</x:v>
      </x:c>
      <x:c r="C6" s="12" t="str"/>
      <x:c r="D6" s="12"/>
      <x:c r="E6" s="12" t="n">
        <x:v>0.04</x:v>
      </x:c>
      <x:c r="F6" s="12" t="n">
        <x:v>0.088</x:v>
      </x:c>
      <x:c r="G6" s="12" t="str">
        <x:v>销售单位由SKU本身定义；不同平台若销售单位不同，请新建SKU</x:v>
      </x:c>
      <x:c r="H6" s="12" t="str">
        <x:v>Active</x:v>
      </x:c>
    </x:row>
    <x:row r="7">
      <x:c r="A7" s="12" t="str">
        <x:v>19.1.0002</x:v>
      </x:c>
      <x:c r="B7" s="12" t="str">
        <x:v>宝可梦展示套礼盒二弹</x:v>
      </x:c>
      <x:c r="C7" s="12" t="str"/>
      <x:c r="D7" s="12"/>
      <x:c r="E7" s="12" t="n">
        <x:v>0.1</x:v>
      </x:c>
      <x:c r="F7" s="12" t="n">
        <x:v>0.22</x:v>
      </x:c>
      <x:c r="G7" s="12" t="str">
        <x:v>销售单位由SKU本身定义；不同平台若销售单位不同，请新建SKU</x:v>
      </x:c>
      <x:c r="H7" s="12" t="str">
        <x:v>Active</x:v>
      </x:c>
    </x:row>
    <x:row r="8">
      <x:c r="A8" s="12" t="str">
        <x:v>19.1.0001</x:v>
      </x:c>
      <x:c r="B8" s="12" t="str">
        <x:v>宝可梦训练家收藏礼盒</x:v>
      </x:c>
      <x:c r="C8" s="12" t="str"/>
      <x:c r="D8" s="12"/>
      <x:c r="E8" s="12" t="n">
        <x:v>1.2</x:v>
      </x:c>
      <x:c r="F8" s="12" t="n">
        <x:v>2.646</x:v>
      </x:c>
      <x:c r="G8" s="12" t="str">
        <x:v>销售单位由SKU本身定义；不同平台若销售单位不同，请新建SKU</x:v>
      </x:c>
      <x:c r="H8" s="12" t="str">
        <x:v>Active</x:v>
      </x:c>
    </x:row>
    <x:row r="9">
      <x:c r="A9" s="12" t="str">
        <x:v>19.1.0003</x:v>
      </x:c>
      <x:c r="B9" s="12" t="str">
        <x:v>宝可梦7.0 勇</x:v>
      </x:c>
      <x:c r="C9" s="12" t="str"/>
      <x:c r="D9" s="12"/>
      <x:c r="E9" s="12" t="n">
        <x:v>0.04</x:v>
      </x:c>
      <x:c r="F9" s="12" t="n">
        <x:v>0.088</x:v>
      </x:c>
      <x:c r="G9" s="12" t="str">
        <x:v>销售单位由SKU本身定义；不同平台若销售单位不同，请新建SKU</x:v>
      </x:c>
      <x:c r="H9" s="12" t="str">
        <x:v>Active</x:v>
      </x:c>
    </x:row>
    <x:row r="10">
      <x:c r="A10" s="12" t="str">
        <x:v>19.1.0004</x:v>
      </x:c>
      <x:c r="B10" s="12" t="str">
        <x:v>宝可梦7.0 魅</x:v>
      </x:c>
      <x:c r="C10" s="12" t="str"/>
      <x:c r="D10" s="12"/>
      <x:c r="E10" s="12" t="n">
        <x:v>0.04</x:v>
      </x:c>
      <x:c r="F10" s="12" t="n">
        <x:v>0.088</x:v>
      </x:c>
      <x:c r="G10" s="12" t="str">
        <x:v>销售单位由SKU本身定义；不同平台若销售单位不同，请新建SKU</x:v>
      </x:c>
      <x:c r="H10" s="12" t="str">
        <x:v>Active</x:v>
      </x:c>
    </x:row>
    <x:row r="11">
      <x:c r="A11" s="12" t="str">
        <x:v>25.1.0002</x:v>
      </x:c>
      <x:c r="B11" s="12" t="str">
        <x:v>Riftbound TCG Vol.1 (Jumbo)符文战场 1 肥</x:v>
      </x:c>
      <x:c r="C11" s="12" t="str"/>
      <x:c r="D11" s="12"/>
      <x:c r="E11" s="12" t="n">
        <x:v>0.04</x:v>
      </x:c>
      <x:c r="F11" s="12" t="n">
        <x:v>0.088</x:v>
      </x:c>
      <x:c r="G11" s="12" t="str">
        <x:v>销售单位由SKU本身定义；不同平台若销售单位不同，请新建SKU</x:v>
      </x:c>
      <x:c r="H11" s="12" t="str">
        <x:v>Active</x:v>
      </x:c>
    </x:row>
    <x:row r="12">
      <x:c r="A12" s="12" t="str">
        <x:v>25.1.0001</x:v>
      </x:c>
      <x:c r="B12" s="12" t="str">
        <x:v>Riftbound TCG Vol.1 (Slim)符文战场 1 瘦</x:v>
      </x:c>
      <x:c r="C12" s="12" t="str"/>
      <x:c r="D12" s="12"/>
      <x:c r="E12" s="12" t="n">
        <x:v>0.01</x:v>
      </x:c>
      <x:c r="F12" s="12" t="n">
        <x:v>0.022</x:v>
      </x:c>
      <x:c r="G12" s="12" t="str">
        <x:v>销售单位由SKU本身定义；不同平台若销售单位不同，请新建SKU</x:v>
      </x:c>
      <x:c r="H12" s="12" t="str">
        <x:v>Active</x:v>
      </x:c>
    </x:row>
    <x:row r="13">
      <x:c r="A13" s="12" t="str">
        <x:v>25.1.0018</x:v>
      </x:c>
      <x:c r="B13" s="12" t="str">
        <x:v>Riftbound TCG Vol.2 (Jumbo)符文战场 2 肥</x:v>
      </x:c>
      <x:c r="C13" s="12" t="str"/>
      <x:c r="D13" s="12"/>
      <x:c r="E13" s="12" t="n">
        <x:v>0.04</x:v>
      </x:c>
      <x:c r="F13" s="12" t="n">
        <x:v>0.088</x:v>
      </x:c>
      <x:c r="G13" s="12" t="str">
        <x:v>销售单位由SKU本身定义；不同平台若销售单位不同，请新建SKU</x:v>
      </x:c>
      <x:c r="H13" s="12" t="str">
        <x:v>Active</x:v>
      </x:c>
    </x:row>
    <x:row r="14">
      <x:c r="A14" s="12" t="str">
        <x:v>25.1.0017</x:v>
      </x:c>
      <x:c r="B14" s="12" t="str">
        <x:v>Riftbound TCG Vol.2 (Slim)符文战场 2 瘦</x:v>
      </x:c>
      <x:c r="C14" s="12" t="str"/>
      <x:c r="D14" s="12"/>
      <x:c r="E14" s="12" t="n">
        <x:v>0.01</x:v>
      </x:c>
      <x:c r="F14" s="12" t="n">
        <x:v>0.022</x:v>
      </x:c>
      <x:c r="G14" s="12" t="str">
        <x:v>销售单位由SKU本身定义；不同平台若销售单位不同，请新建SKU</x:v>
      </x:c>
      <x:c r="H14" s="12" t="str">
        <x:v>Active</x:v>
      </x:c>
    </x:row>
    <x:row r="15">
      <x:c r="A15" s="12" t="str">
        <x:v>25.1.0030</x:v>
      </x:c>
      <x:c r="B15" s="12" t="str">
        <x:v>Riftbound TCG Vol.3 (Jumbo)符文战场 3 肥</x:v>
      </x:c>
      <x:c r="C15" s="12" t="str"/>
      <x:c r="D15" s="12"/>
      <x:c r="E15" s="12" t="n">
        <x:v>0.04</x:v>
      </x:c>
      <x:c r="F15" s="12" t="n">
        <x:v>0.088</x:v>
      </x:c>
      <x:c r="G15" s="12" t="str">
        <x:v>销售单位由SKU本身定义；不同平台若销售单位不同，请新建SKU</x:v>
      </x:c>
      <x:c r="H15" s="12" t="str">
        <x:v>Active</x:v>
      </x:c>
    </x:row>
    <x:row r="16">
      <x:c r="A16" s="12" t="str">
        <x:v>25.1.0029</x:v>
      </x:c>
      <x:c r="B16" s="12" t="str">
        <x:v>Riftbound TCG Vol.3 (Slim)符文战场 3 瘦</x:v>
      </x:c>
      <x:c r="C16" s="12" t="str"/>
      <x:c r="D16" s="12"/>
      <x:c r="E16" s="12" t="n">
        <x:v>0.01</x:v>
      </x:c>
      <x:c r="F16" s="12" t="n">
        <x:v>0.022</x:v>
      </x:c>
      <x:c r="G16" s="12" t="str">
        <x:v>销售单位由SKU本身定义；不同平台若销售单位不同，请新建SKU</x:v>
      </x:c>
      <x:c r="H16" s="12" t="str">
        <x:v>Active</x:v>
      </x:c>
    </x:row>
    <x:row r="17">
      <x:c r="A17" s="12" t="str">
        <x:v>TCG00016</x:v>
      </x:c>
      <x:c r="B17" s="12" t="str">
        <x:v>Riftbound Spring Festival</x:v>
      </x:c>
      <x:c r="C17" s="12" t="str"/>
      <x:c r="D17" s="12"/>
      <x:c r="E17" s="12" t="n">
        <x:v>1.2</x:v>
      </x:c>
      <x:c r="F17" s="12" t="n">
        <x:v>2.646</x:v>
      </x:c>
      <x:c r="G17" s="12" t="str">
        <x:v>销售单位由SKU本身定义；不同平台若销售单位不同，请新建SKU</x:v>
      </x:c>
      <x:c r="H17" s="12" t="str">
        <x:v>Active</x:v>
      </x:c>
    </x:row>
    <x:row r="18">
      <x:c r="A18" s="12" t="str">
        <x:v>TCG00017</x:v>
      </x:c>
      <x:c r="B18" s="12" t="str">
        <x:v>DISNEY LORCANA 1 Pack</x:v>
      </x:c>
      <x:c r="C18" s="12" t="str"/>
      <x:c r="D18" s="12"/>
      <x:c r="E18" s="12" t="n">
        <x:v>0.01</x:v>
      </x:c>
      <x:c r="F18" s="12" t="n">
        <x:v>0.022</x:v>
      </x:c>
      <x:c r="G18" s="12" t="str">
        <x:v>销售单位由SKU本身定义；不同平台若销售单位不同，请新建SKU</x:v>
      </x:c>
      <x:c r="H18" s="12" t="str">
        <x:v>Active</x:v>
      </x:c>
    </x:row>
    <x:row r="19">
      <x:c r="A19" s="12" t="str">
        <x:v>19.1.0005</x:v>
      </x:c>
      <x:c r="B19" s="12" t="str">
        <x:v>[Set 11] Booster Box洛卡纳英文11弹</x:v>
      </x:c>
      <x:c r="C19" s="12" t="str"/>
      <x:c r="D19" s="12"/>
      <x:c r="E19" s="12" t="n">
        <x:v>0.02</x:v>
      </x:c>
      <x:c r="F19" s="12" t="n">
        <x:v>0.044</x:v>
      </x:c>
      <x:c r="G19" s="12" t="str">
        <x:v>销售单位由SKU本身定义；不同平台若销售单位不同，请新建SKU</x:v>
      </x:c>
      <x:c r="H19" s="12" t="str">
        <x:v>Active</x:v>
      </x:c>
    </x:row>
    <x:row r="20">
      <x:c r="A20" s="12" t="str">
        <x:v>TCG00019</x:v>
      </x:c>
      <x:c r="B20" s="12" t="str">
        <x:v>Pokemon M2A</x:v>
      </x:c>
      <x:c r="C20" s="12" t="str"/>
      <x:c r="D20" s="12"/>
      <x:c r="E20" s="12" t="n">
        <x:v>0.02</x:v>
      </x:c>
      <x:c r="F20" s="12" t="n">
        <x:v>0.044</x:v>
      </x:c>
      <x:c r="G20" s="12" t="str">
        <x:v>销售单位由SKU本身定义；不同平台若销售单位不同，请新建SKU</x:v>
      </x:c>
      <x:c r="H20" s="12" t="str">
        <x:v>Active</x:v>
      </x:c>
    </x:row>
    <x:row r="21">
      <x:c r="A21" s="12" t="str">
        <x:v>TCG00020</x:v>
      </x:c>
      <x:c r="B21" s="12" t="str">
        <x:v>Pokemon M4</x:v>
      </x:c>
      <x:c r="C21" s="12" t="str"/>
      <x:c r="D21" s="12"/>
      <x:c r="E21" s="12" t="n">
        <x:v>0.01</x:v>
      </x:c>
      <x:c r="F21" s="12" t="n">
        <x:v>0.022</x:v>
      </x:c>
      <x:c r="G21" s="12" t="str">
        <x:v>销售单位由SKU本身定义；不同平台若销售单位不同，请新建SKU</x:v>
      </x:c>
      <x:c r="H21" s="12" t="str">
        <x:v>Active</x:v>
      </x:c>
    </x:row>
    <x:row r="22">
      <x:c r="A22" s="12" t="str">
        <x:v>TCG00021</x:v>
      </x:c>
      <x:c r="B22" s="12" t="str">
        <x:v>Pokemon SV8A</x:v>
      </x:c>
      <x:c r="C22" s="12" t="str"/>
      <x:c r="D22" s="12"/>
      <x:c r="E22" s="12" t="n">
        <x:v>0.02</x:v>
      </x:c>
      <x:c r="F22" s="12" t="n">
        <x:v>0.044</x:v>
      </x:c>
      <x:c r="G22" s="12" t="str">
        <x:v>销售单位由SKU本身定义；不同平台若销售单位不同，请新建SKU</x:v>
      </x:c>
      <x:c r="H22" s="12" t="str">
        <x:v>Active</x:v>
      </x:c>
    </x:row>
    <x:row r="23">
      <x:c r="A23" s="12" t="str">
        <x:v>TCG00022</x:v>
      </x:c>
      <x:c r="B23" s="12" t="str">
        <x:v>Pokemon SV9</x:v>
      </x:c>
      <x:c r="C23" s="12" t="str"/>
      <x:c r="D23" s="12"/>
      <x:c r="E23" s="12" t="n">
        <x:v>0.01</x:v>
      </x:c>
      <x:c r="F23" s="12" t="n">
        <x:v>0.022</x:v>
      </x:c>
      <x:c r="G23" s="12" t="str">
        <x:v>销售单位由SKU本身定义；不同平台若销售单位不同，请新建SKU</x:v>
      </x:c>
      <x:c r="H23" s="12" t="str">
        <x:v>Active</x:v>
      </x:c>
    </x:row>
    <x:row r="24">
      <x:c r="A24" s="12" t="str">
        <x:v>01.1.0141</x:v>
      </x:c>
      <x:c r="B24" s="12" t="str">
        <x:v>宝可梦集换式卡牌游戏 朱&amp;紫利刃猛醒(20张)15.0肥</x:v>
      </x:c>
      <x:c r="C24" s="12" t="str"/>
      <x:c r="D24" s="12"/>
      <x:c r="E24" s="12" t="n">
        <x:v>0.03</x:v>
      </x:c>
      <x:c r="F24" s="12" t="n">
        <x:v>0.066</x:v>
      </x:c>
      <x:c r="G24" s="12" t="str">
        <x:v>销售单位由SKU本身定义；不同平台若销售单位不同，请新建SKU</x:v>
      </x:c>
      <x:c r="H24" s="12" t="str">
        <x:v>Active</x:v>
      </x:c>
    </x:row>
    <x:row r="25">
      <x:c r="A25" s="12" t="str">
        <x:v>01.1.0140</x:v>
      </x:c>
      <x:c r="B25" s="12" t="str">
        <x:v>宝可梦集换式卡牌游戏 朱&amp;紫利刃猛醒(5张)15.0瘦</x:v>
      </x:c>
      <x:c r="C25" s="12" t="str"/>
      <x:c r="D25" s="12"/>
      <x:c r="E25" s="12" t="n">
        <x:v>0.01</x:v>
      </x:c>
      <x:c r="F25" s="12" t="n">
        <x:v>0.022</x:v>
      </x:c>
      <x:c r="G25" s="12" t="str">
        <x:v>销售单位由SKU本身定义；不同平台若销售单位不同，请新建SKU</x:v>
      </x:c>
      <x:c r="H25" s="12" t="str">
        <x:v>Active</x:v>
      </x:c>
    </x:row>
    <x:row r="26">
      <x:c r="A26" s="12" t="str">
        <x:v>01.1.0152</x:v>
      </x:c>
      <x:c r="B26" s="12" t="str">
        <x:v>宝可梦集换式卡牌游戏朱&amp;紫星彩晶璃(5张)17.0瘦</x:v>
      </x:c>
      <x:c r="C26" s="12" t="str"/>
      <x:c r="D26" s="12"/>
      <x:c r="E26" s="12" t="n">
        <x:v>0.01</x:v>
      </x:c>
      <x:c r="F26" s="12" t="n">
        <x:v>0.022</x:v>
      </x:c>
      <x:c r="G26" s="12" t="str">
        <x:v>销售单位由SKU本身定义；不同平台若销售单位不同，请新建SKU</x:v>
      </x:c>
      <x:c r="H26" s="12" t="str">
        <x:v>Active</x:v>
      </x:c>
    </x:row>
    <x:row r="27">
      <x:c r="A27" s="12" t="str">
        <x:v>TCG00001</x:v>
      </x:c>
      <x:c r="B27" s="12" t="str">
        <x:v>Pokemon Gem Pack Vol.2</x:v>
      </x:c>
      <x:c r="C27" s="12" t="str">
        <x:v>Pack</x:v>
      </x:c>
      <x:c r="D27" s="12"/>
      <x:c r="E27" s="12"/>
      <x:c r="F27" s="12"/>
      <x:c r="G27" s="12" t="str">
        <x:v>示例：TikTok若按包销售，此SKU即代表1包</x:v>
      </x:c>
      <x:c r="H27" s="12" t="str">
        <x:v>Active</x:v>
      </x:c>
    </x:row>
    <x:row r="28">
      <x:c r="A28" s="12" t="str">
        <x:v>TCG00002</x:v>
      </x:c>
      <x:c r="B28" s="12" t="str">
        <x:v>Pokemon Gem Pack Vol.5 Box</x:v>
      </x:c>
      <x:c r="C28" s="12" t="str">
        <x:v>Box</x:v>
      </x:c>
      <x:c r="D28" s="12"/>
      <x:c r="E28" s="12"/>
      <x:c r="F28" s="12"/>
      <x:c r="G28" s="12" t="str">
        <x:v>示例：eBay若按盒销售，此SKU即代表1盒；不与包SKU换算</x:v>
      </x:c>
      <x:c r="H28" s="1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cbaddb79f0db4c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</x:cols>
  <x:sheetData>
    <x:row r="1" ht="28" customHeight="1">
      <x:c r="A1" s="6" t="str">
        <x:v>Purchase_ID</x:v>
      </x:c>
      <x:c r="B1" s="18" t="str">
        <x:v>Purchase_Date</x:v>
      </x:c>
      <x:c r="C1" s="6" t="str">
        <x:v>Supplier</x:v>
      </x:c>
      <x:c r="D1" s="6" t="str">
        <x:v>SKU_ID</x:v>
      </x:c>
      <x:c r="E1" s="6" t="str">
        <x:v>Product_Name</x:v>
      </x:c>
      <x:c r="F1" s="20" t="str">
        <x:v>Purchase_Qty</x:v>
      </x:c>
      <x:c r="G1" s="14" t="str">
        <x:v>Unit_Cost_USD</x:v>
      </x:c>
      <x:c r="H1" s="14" t="str">
        <x:v>Total_Cost_USD</x:v>
      </x:c>
      <x:c r="I1" s="6" t="str">
        <x:v>Warehouse</x:v>
      </x:c>
      <x:c r="J1" s="6" t="str">
        <x:v>Status</x:v>
      </x:c>
      <x:c r="K1" s="6" t="str">
        <x:v>Remark</x:v>
      </x:c>
    </x:row>
    <x:row r="2">
      <x:c r="A2" s="12" t="str">
        <x:v>PUR-00001</x:v>
      </x:c>
      <x:c r="B2" s="12" t="str">
        <x:v>2026/05/21</x:v>
      </x:c>
      <x:c r="C2" s="12" t="str">
        <x:v>SH</x:v>
      </x:c>
      <x:c r="D2" s="12" t="str">
        <x:v>TCG00001</x:v>
      </x:c>
      <x:c r="E2" s="12" t="str">
        <x:v>Pokemon Gem Pack Vol.2</x:v>
      </x:c>
      <x:c r="F2" s="12" t="n">
        <x:v>1000</x:v>
      </x:c>
      <x:c r="G2" s="12" t="n">
        <x:v>0.1</x:v>
      </x:c>
      <x:c r="H2" s="12" t="n">
        <x:v>100</x:v>
      </x:c>
      <x:c r="I2" s="12" t="str">
        <x:v>Default</x:v>
      </x:c>
      <x:c r="J2" s="12" t="str">
        <x:v>Arrived</x:v>
      </x:c>
      <x:c r="K2" s="12" t="str">
        <x:v>采购数量=SKU数量；所有金额均为USD</x:v>
      </x:c>
    </x:row>
    <x:row r="3">
      <x:c r="A3" s="12" t="str">
        <x:v>PUR-00002</x:v>
      </x:c>
      <x:c r="B3" s="12" t="str">
        <x:v>2026/05/26</x:v>
      </x:c>
      <x:c r="C3" s="12" t="str">
        <x:v>SH</x:v>
      </x:c>
      <x:c r="D3" s="12" t="str">
        <x:v>TCG00001</x:v>
      </x:c>
      <x:c r="E3" s="12" t="str">
        <x:v>Pokemon Gem Pack Vol.2</x:v>
      </x:c>
      <x:c r="F3" s="12" t="n">
        <x:v>120</x:v>
      </x:c>
      <x:c r="G3" s="12" t="n">
        <x:v>0.11</x:v>
      </x:c>
      <x:c r="H3" s="12" t="n">
        <x:v>13</x:v>
      </x:c>
      <x:c r="I3" s="12" t="str">
        <x:v>Default</x:v>
      </x:c>
      <x:c r="J3" s="12" t="str">
        <x:v>Arrived</x:v>
      </x:c>
      <x:c r="K3" s="12" t="str">
        <x:v>采购数量=SKU数量；所有金额均为USD</x:v>
      </x:c>
    </x:row>
    <x:row r="4">
      <x:c r="A4" s="12" t="str">
        <x:v>PUR-00003</x:v>
      </x:c>
      <x:c r="B4" s="12" t="str"/>
      <x:c r="C4" s="12" t="str"/>
      <x:c r="D4" s="12" t="str"/>
      <x:c r="E4" s="12" t="str"/>
      <x:c r="F4" s="12"/>
      <x:c r="G4" s="12"/>
      <x:c r="H4" s="12"/>
      <x:c r="I4" s="12" t="str">
        <x:v>Default</x:v>
      </x:c>
      <x:c r="J4" s="12" t="str"/>
      <x:c r="K4" s="12" t="str">
        <x:v>手工新增采购行；数量=SKU数量，金额=USD</x:v>
      </x:c>
    </x:row>
  </x:sheetData>
  <x:pageMargins left="0.7" right="0.7" top="0.75" bottom="0.75" header="0.3" footer="0.3"/>
  <x:tableParts count="1">
    <x:tablePart xmlns:r="http://schemas.openxmlformats.org/officeDocument/2006/relationships" r:id="R97387f42444d4c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28" hidden="0" customWidth="1"/>
  </x:cols>
  <x:sheetData>
    <x:row r="1" ht="28" customHeight="1">
      <x:c r="A1" s="6" t="str">
        <x:v>Inventory_Txn_ID</x:v>
      </x:c>
      <x:c r="B1" s="18" t="str">
        <x:v>Txn_Date</x:v>
      </x:c>
      <x:c r="C1" s="6" t="str">
        <x:v>SKU_ID</x:v>
      </x:c>
      <x:c r="D1" s="6" t="str">
        <x:v>SKU_Name</x:v>
      </x:c>
      <x:c r="E1" s="6" t="str">
        <x:v>Txn_Type</x:v>
      </x:c>
      <x:c r="F1" s="20" t="str">
        <x:v>Qty_In</x:v>
      </x:c>
      <x:c r="G1" s="20" t="str">
        <x:v>Qty_Out</x:v>
      </x:c>
      <x:c r="H1" s="20" t="str">
        <x:v>Qty_Net</x:v>
      </x:c>
      <x:c r="I1" s="14" t="str">
        <x:v>Unit_Cost_USD</x:v>
      </x:c>
      <x:c r="J1" s="14" t="str">
        <x:v>Amount_USD</x:v>
      </x:c>
      <x:c r="K1" s="6" t="str">
        <x:v>Related_Doc_ID</x:v>
      </x:c>
      <x:c r="L1" s="6" t="str">
        <x:v>Related_Order_ID</x:v>
      </x:c>
      <x:c r="M1" s="6" t="str">
        <x:v>Platform</x:v>
      </x:c>
      <x:c r="N1" s="6" t="str">
        <x:v>Company_Code</x:v>
      </x:c>
      <x:c r="O1" s="6" t="str">
        <x:v>Host_Name</x:v>
      </x:c>
      <x:c r="P1" s="6" t="str">
        <x:v>Source</x:v>
      </x:c>
      <x:c r="Q1" s="6" t="str">
        <x:v>Remark</x:v>
      </x:c>
    </x:row>
    <x:row r="2">
      <x:c r="A2" s="12" t="str">
        <x:v>INV-IN-000001</x:v>
      </x:c>
      <x:c r="B2" s="12" t="str">
        <x:v>2026/05/21</x:v>
      </x:c>
      <x:c r="C2" s="12" t="str">
        <x:v>TCG00001</x:v>
      </x:c>
      <x:c r="D2" s="12" t="str">
        <x:v>Pokemon Gem Pack Vol.2</x:v>
      </x:c>
      <x:c r="E2" s="12" t="str">
        <x:v>Purchase In</x:v>
      </x:c>
      <x:c r="F2" s="12" t="n">
        <x:v>1000</x:v>
      </x:c>
      <x:c r="G2" s="12" t="n">
        <x:v>0</x:v>
      </x:c>
      <x:c r="H2" s="12" t="n">
        <x:v>1000</x:v>
      </x:c>
      <x:c r="I2" s="12" t="n">
        <x:v>0.1</x:v>
      </x:c>
      <x:c r="J2" s="12" t="n">
        <x:v>100</x:v>
      </x:c>
      <x:c r="K2" s="12" t="str">
        <x:v>PUR-00001</x:v>
      </x:c>
      <x:c r="L2" s="12" t="str"/>
      <x:c r="M2" s="12" t="str"/>
      <x:c r="N2" s="12" t="str"/>
      <x:c r="O2" s="12" t="str"/>
      <x:c r="P2" s="12" t="str">
        <x:v>Purchase_Inbound</x:v>
      </x:c>
      <x:c r="Q2" s="12" t="str">
        <x:v>采购入库：数量=SKU数量</x:v>
      </x:c>
    </x:row>
    <x:row r="3">
      <x:c r="A3" s="12" t="str">
        <x:v>INV-IN-000002</x:v>
      </x:c>
      <x:c r="B3" s="12" t="str">
        <x:v>2026/05/26</x:v>
      </x:c>
      <x:c r="C3" s="12" t="str">
        <x:v>TCG00001</x:v>
      </x:c>
      <x:c r="D3" s="12" t="str">
        <x:v>Pokemon Gem Pack Vol.2</x:v>
      </x:c>
      <x:c r="E3" s="12" t="str">
        <x:v>Purchase In</x:v>
      </x:c>
      <x:c r="F3" s="12" t="n">
        <x:v>120</x:v>
      </x:c>
      <x:c r="G3" s="12" t="n">
        <x:v>0</x:v>
      </x:c>
      <x:c r="H3" s="12" t="n">
        <x:v>120</x:v>
      </x:c>
      <x:c r="I3" s="12" t="n">
        <x:v>0.11</x:v>
      </x:c>
      <x:c r="J3" s="12" t="n">
        <x:v>13</x:v>
      </x:c>
      <x:c r="K3" s="12" t="str">
        <x:v>PUR-00002</x:v>
      </x:c>
      <x:c r="L3" s="12" t="str"/>
      <x:c r="M3" s="12" t="str"/>
      <x:c r="N3" s="12" t="str"/>
      <x:c r="O3" s="12" t="str"/>
      <x:c r="P3" s="12" t="str">
        <x:v>Purchase_Inbound</x:v>
      </x:c>
      <x:c r="Q3" s="12" t="str">
        <x:v>采购入库：数量=SKU数量</x:v>
      </x:c>
    </x:row>
    <x:row r="4">
      <x:c r="A4" s="12" t="str">
        <x:v>INV-SALES-000001</x:v>
      </x:c>
      <x:c r="B4" s="12" t="str"/>
      <x:c r="C4" s="12" t="str">
        <x:v>TCG00001</x:v>
      </x:c>
      <x:c r="D4" s="12" t="str">
        <x:v>Pokemon Gem Pack Vol.2</x:v>
      </x:c>
      <x:c r="E4" s="12" t="str">
        <x:v>Sales Out</x:v>
      </x:c>
      <x:c r="F4" s="12" t="n">
        <x:v>0</x:v>
      </x:c>
      <x:c r="G4" s="12" t="n">
        <x:v>2</x:v>
      </x:c>
      <x:c r="H4" s="12" t="n">
        <x:v>-2</x:v>
      </x:c>
      <x:c r="I4" s="12"/>
      <x:c r="J4" s="12"/>
      <x:c r="K4" s="12" t="str"/>
      <x:c r="L4" s="12" t="str">
        <x:v>TikTok:TikTok_US_MAIN:ORDER_EXAMPLE</x:v>
      </x:c>
      <x:c r="M4" s="12" t="str">
        <x:v>TikTok</x:v>
      </x:c>
      <x:c r="N4" s="12" t="str">
        <x:v>VLG</x:v>
      </x:c>
      <x:c r="O4" s="12" t="str">
        <x:v>Cammie</x:v>
      </x:c>
      <x:c r="P4" s="12" t="str">
        <x:v>Order_Line</x:v>
      </x:c>
      <x:c r="Q4" s="12" t="str">
        <x:v>示例：Seller Note中 #TCG00001 2，库存直接扣减2个SKU</x:v>
      </x:c>
    </x:row>
    <x:row r="5">
      <x:c r="A5" s="12" t="str">
        <x:v>INV-ADJ-000001</x:v>
      </x:c>
      <x:c r="B5" s="12" t="str"/>
      <x:c r="C5" s="12" t="str">
        <x:v>TCG00001</x:v>
      </x:c>
      <x:c r="D5" s="12" t="str">
        <x:v>Pokemon Gem Pack Vol.2</x:v>
      </x:c>
      <x:c r="E5" s="12" t="str">
        <x:v>Adjustment</x:v>
      </x:c>
      <x:c r="F5" s="12" t="n">
        <x:v>0</x:v>
      </x:c>
      <x:c r="G5" s="12" t="n">
        <x:v>0</x:v>
      </x:c>
      <x:c r="H5" s="12" t="n">
        <x:v>0</x:v>
      </x:c>
      <x:c r="I5" s="12"/>
      <x:c r="J5" s="12"/>
      <x:c r="K5" s="12" t="str"/>
      <x:c r="L5" s="12" t="str"/>
      <x:c r="M5" s="12" t="str"/>
      <x:c r="N5" s="12" t="str"/>
      <x:c r="O5" s="12" t="str"/>
      <x:c r="P5" s="12" t="str">
        <x:v>Manual</x:v>
      </x:c>
      <x:c r="Q5" s="12" t="str">
        <x:v>示例调整行：盘点损耗或手工调整时填写Qty_Net</x:v>
      </x:c>
    </x:row>
  </x:sheetData>
  <x:pageMargins left="0.7" right="0.7" top="0.75" bottom="0.75" header="0.3" footer="0.3"/>
  <x:tableParts count="1">
    <x:tablePart xmlns:r="http://schemas.openxmlformats.org/officeDocument/2006/relationships" r:id="R1aafab4eddb444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</x:cols>
  <x:sheetData>
    <x:row r="1" ht="28" customHeight="1">
      <x:c r="A1" s="6" t="str">
        <x:v>SKU_ID</x:v>
      </x:c>
      <x:c r="B1" s="6" t="str">
        <x:v>SKU_Name</x:v>
      </x:c>
      <x:c r="C1" s="6" t="str">
        <x:v>Min_Sales_Unit_Spec</x:v>
      </x:c>
      <x:c r="D1" s="14" t="str">
        <x:v>Standard_Price_USD</x:v>
      </x:c>
      <x:c r="E1" s="16" t="str">
        <x:v>Weight_KG</x:v>
      </x:c>
      <x:c r="F1" s="16" t="str">
        <x:v>Weight_LB</x:v>
      </x:c>
      <x:c r="G1" s="20" t="str">
        <x:v>Purchase_In_Qty</x:v>
      </x:c>
      <x:c r="H1" s="20" t="str">
        <x:v>Sales_Out_Qty</x:v>
      </x:c>
      <x:c r="I1" s="20" t="str">
        <x:v>Adjustment_Qty</x:v>
      </x:c>
      <x:c r="J1" s="20" t="str">
        <x:v>Current_Qty</x:v>
      </x:c>
      <x:c r="K1" s="14" t="str">
        <x:v>Avg_Unit_Cost_USD</x:v>
      </x:c>
      <x:c r="L1" s="14" t="str">
        <x:v>Inventory_Value_USD</x:v>
      </x:c>
      <x:c r="M1" s="6" t="str">
        <x:v>Inventory_Status</x:v>
      </x:c>
      <x:c r="N1" s="6" t="str">
        <x:v>Note</x:v>
      </x:c>
    </x:row>
    <x:row r="2">
      <x:c r="A2" s="12" t="str">
        <x:v>24.1.0004</x:v>
      </x:c>
      <x:c r="B2" s="12" t="str">
        <x:f>IFERROR(XLOOKUP(A2,SKU_Master!A:A,SKU_Master!B:B,""),"")</x:f>
        <x:v>Gem Pack 2.0宝石包 2.0</x:v>
      </x:c>
      <x:c r="C2" s="12" t="str">
        <x:f>IFERROR(XLOOKUP(A2,SKU_Master!A:A,SKU_Master!C:C,""),"")</x:f>
      </x:c>
      <x:c r="D2" s="12" t="str">
        <x:f>IFERROR(XLOOKUP(A2,SKU_Master!A:A,SKU_Master!D:D,""),"")</x:f>
      </x:c>
      <x:c r="E2" s="12" t="n">
        <x:f>IFERROR(XLOOKUP(A2,SKU_Master!A:A,SKU_Master!E:E,""),"")</x:f>
        <x:v>0.01</x:v>
      </x:c>
      <x:c r="F2" s="12" t="n">
        <x:f>IFERROR(XLOOKUP(A2,SKU_Master!A:A,SKU_Master!F:F,""),"")</x:f>
        <x:v>0.022</x:v>
      </x:c>
      <x:c r="G2" s="12" t="n">
        <x:f>SUMIFS(Inventory_Ledger!F:F,Inventory_Ledger!C:C,A2)</x:f>
        <x:v>0</x:v>
      </x:c>
      <x:c r="H2" s="12" t="n">
        <x:f>SUMIFS(Inventory_Ledger!G:G,Inventory_Ledger!C:C,A2)</x:f>
        <x:v>0</x:v>
      </x:c>
      <x:c r="I2" s="12" t="n">
        <x:f>SUMIFS(Inventory_Ledger!H:H,Inventory_Ledger!C:C,A2,Inventory_Ledger!E:E,"Adjustment")</x:f>
        <x:v>0</x:v>
      </x:c>
      <x:c r="J2" s="12" t="n">
        <x:f>SUMIFS(Inventory_Ledger!H:H,Inventory_Ledger!C:C,A2)</x:f>
        <x:v>0</x:v>
      </x:c>
      <x:c r="K2" s="12" t="str">
        <x:f>IF(G2=0,"",SUMIFS(Inventory_Ledger!J:J,Inventory_Ledger!C:C,A2,Inventory_Ledger!E:E,"Purchase In")/G2)</x:f>
      </x:c>
      <x:c r="L2" s="12" t="n">
        <x:f>IFERROR(J2*K2,0)</x:f>
        <x:v>0</x:v>
      </x:c>
      <x:c r="M2" s="12" t="str">
        <x:f>IF(J2&lt;0,"负库存",IF(J2=0,"缺货","正常"))</x:f>
        <x:v>缺货</x:v>
      </x:c>
      <x:c r="N2" s="12" t="str">
        <x:f>"数量口径=SKU数量；不做箱/盒/包换算"</x:f>
        <x:v>数量口径=SKU数量；不做箱/盒/包换算</x:v>
      </x:c>
    </x:row>
    <x:row r="3">
      <x:c r="A3" s="12" t="str">
        <x:v>24.1.0006</x:v>
      </x:c>
      <x:c r="B3" s="12" t="str">
        <x:f>IFERROR(XLOOKUP(A3,SKU_Master!A:A,SKU_Master!B:B,""),"")</x:f>
        <x:v>Gem Pack 3.0宝石包3.0</x:v>
      </x:c>
      <x:c r="C3" s="12" t="str">
        <x:f>IFERROR(XLOOKUP(A3,SKU_Master!A:A,SKU_Master!C:C,""),"")</x:f>
      </x:c>
      <x:c r="D3" s="12" t="str">
        <x:f>IFERROR(XLOOKUP(A3,SKU_Master!A:A,SKU_Master!D:D,""),"")</x:f>
      </x:c>
      <x:c r="E3" s="12" t="n">
        <x:f>IFERROR(XLOOKUP(A3,SKU_Master!A:A,SKU_Master!E:E,""),"")</x:f>
        <x:v>0.01</x:v>
      </x:c>
      <x:c r="F3" s="12" t="n">
        <x:f>IFERROR(XLOOKUP(A3,SKU_Master!A:A,SKU_Master!F:F,""),"")</x:f>
        <x:v>0.022</x:v>
      </x:c>
      <x:c r="G3" s="12" t="n">
        <x:f>SUMIFS(Inventory_Ledger!F:F,Inventory_Ledger!C:C,A3)</x:f>
        <x:v>0</x:v>
      </x:c>
      <x:c r="H3" s="12" t="n">
        <x:f>SUMIFS(Inventory_Ledger!G:G,Inventory_Ledger!C:C,A3)</x:f>
        <x:v>0</x:v>
      </x:c>
      <x:c r="I3" s="12" t="n">
        <x:f>SUMIFS(Inventory_Ledger!H:H,Inventory_Ledger!C:C,A3,Inventory_Ledger!E:E,"Adjustment")</x:f>
        <x:v>0</x:v>
      </x:c>
      <x:c r="J3" s="12" t="n">
        <x:f>SUMIFS(Inventory_Ledger!H:H,Inventory_Ledger!C:C,A3)</x:f>
        <x:v>0</x:v>
      </x:c>
      <x:c r="K3" s="12" t="str">
        <x:f>IF(G3=0,"",SUMIFS(Inventory_Ledger!J:J,Inventory_Ledger!C:C,A3,Inventory_Ledger!E:E,"Purchase In")/G3)</x:f>
      </x:c>
      <x:c r="L3" s="12" t="n">
        <x:f>IFERROR(J3*K3,0)</x:f>
        <x:v>0</x:v>
      </x:c>
      <x:c r="M3" s="12" t="str">
        <x:f>IF(J3&lt;0,"负库存",IF(J3=0,"缺货","正常"))</x:f>
        <x:v>缺货</x:v>
      </x:c>
      <x:c r="N3" s="12" t="str">
        <x:f>"数量口径=SKU数量；不做箱/盒/包换算"</x:f>
        <x:v>数量口径=SKU数量；不做箱/盒/包换算</x:v>
      </x:c>
    </x:row>
    <x:row r="4">
      <x:c r="A4" s="12" t="str">
        <x:v>24.1.0008</x:v>
      </x:c>
      <x:c r="B4" s="12" t="str">
        <x:f>IFERROR(XLOOKUP(A4,SKU_Master!A:A,SKU_Master!B:B,""),"")</x:f>
        <x:v>Gem Pack 4.0宝石包4.0</x:v>
      </x:c>
      <x:c r="C4" s="12" t="str">
        <x:f>IFERROR(XLOOKUP(A4,SKU_Master!A:A,SKU_Master!C:C,""),"")</x:f>
      </x:c>
      <x:c r="D4" s="12" t="str">
        <x:f>IFERROR(XLOOKUP(A4,SKU_Master!A:A,SKU_Master!D:D,""),"")</x:f>
      </x:c>
      <x:c r="E4" s="12" t="n">
        <x:f>IFERROR(XLOOKUP(A4,SKU_Master!A:A,SKU_Master!E:E,""),"")</x:f>
        <x:v>0.01</x:v>
      </x:c>
      <x:c r="F4" s="12" t="n">
        <x:f>IFERROR(XLOOKUP(A4,SKU_Master!A:A,SKU_Master!F:F,""),"")</x:f>
        <x:v>0.022</x:v>
      </x:c>
      <x:c r="G4" s="12" t="n">
        <x:f>SUMIFS(Inventory_Ledger!F:F,Inventory_Ledger!C:C,A4)</x:f>
        <x:v>0</x:v>
      </x:c>
      <x:c r="H4" s="12" t="n">
        <x:f>SUMIFS(Inventory_Ledger!G:G,Inventory_Ledger!C:C,A4)</x:f>
        <x:v>0</x:v>
      </x:c>
      <x:c r="I4" s="12" t="n">
        <x:f>SUMIFS(Inventory_Ledger!H:H,Inventory_Ledger!C:C,A4,Inventory_Ledger!E:E,"Adjustment")</x:f>
        <x:v>0</x:v>
      </x:c>
      <x:c r="J4" s="12" t="n">
        <x:f>SUMIFS(Inventory_Ledger!H:H,Inventory_Ledger!C:C,A4)</x:f>
        <x:v>0</x:v>
      </x:c>
      <x:c r="K4" s="12" t="str">
        <x:f>IF(G4=0,"",SUMIFS(Inventory_Ledger!J:J,Inventory_Ledger!C:C,A4,Inventory_Ledger!E:E,"Purchase In")/G4)</x:f>
      </x:c>
      <x:c r="L4" s="12" t="n">
        <x:f>IFERROR(J4*K4,0)</x:f>
        <x:v>0</x:v>
      </x:c>
      <x:c r="M4" s="12" t="str">
        <x:f>IF(J4&lt;0,"负库存",IF(J4=0,"缺货","正常"))</x:f>
        <x:v>缺货</x:v>
      </x:c>
      <x:c r="N4" s="12" t="str">
        <x:f>"数量口径=SKU数量；不做箱/盒/包换算"</x:f>
        <x:v>数量口径=SKU数量；不做箱/盒/包换算</x:v>
      </x:c>
    </x:row>
    <x:row r="5">
      <x:c r="A5" s="12" t="str">
        <x:v>24.1.0010</x:v>
      </x:c>
      <x:c r="B5" s="12" t="str">
        <x:f>IFERROR(XLOOKUP(A5,SKU_Master!A:A,SKU_Master!B:B,""),"")</x:f>
        <x:v>Gem Pack 5.0宝石包5.0</x:v>
      </x:c>
      <x:c r="C5" s="12" t="str">
        <x:f>IFERROR(XLOOKUP(A5,SKU_Master!A:A,SKU_Master!C:C,""),"")</x:f>
      </x:c>
      <x:c r="D5" s="12" t="str">
        <x:f>IFERROR(XLOOKUP(A5,SKU_Master!A:A,SKU_Master!D:D,""),"")</x:f>
      </x:c>
      <x:c r="E5" s="12" t="n">
        <x:f>IFERROR(XLOOKUP(A5,SKU_Master!A:A,SKU_Master!E:E,""),"")</x:f>
        <x:v>0.01</x:v>
      </x:c>
      <x:c r="F5" s="12" t="n">
        <x:f>IFERROR(XLOOKUP(A5,SKU_Master!A:A,SKU_Master!F:F,""),"")</x:f>
        <x:v>0.022</x:v>
      </x:c>
      <x:c r="G5" s="12" t="n">
        <x:f>SUMIFS(Inventory_Ledger!F:F,Inventory_Ledger!C:C,A5)</x:f>
        <x:v>0</x:v>
      </x:c>
      <x:c r="H5" s="12" t="n">
        <x:f>SUMIFS(Inventory_Ledger!G:G,Inventory_Ledger!C:C,A5)</x:f>
        <x:v>0</x:v>
      </x:c>
      <x:c r="I5" s="12" t="n">
        <x:f>SUMIFS(Inventory_Ledger!H:H,Inventory_Ledger!C:C,A5,Inventory_Ledger!E:E,"Adjustment")</x:f>
        <x:v>0</x:v>
      </x:c>
      <x:c r="J5" s="12" t="n">
        <x:f>SUMIFS(Inventory_Ledger!H:H,Inventory_Ledger!C:C,A5)</x:f>
        <x:v>0</x:v>
      </x:c>
      <x:c r="K5" s="12" t="str">
        <x:f>IF(G5=0,"",SUMIFS(Inventory_Ledger!J:J,Inventory_Ledger!C:C,A5,Inventory_Ledger!E:E,"Purchase In")/G5)</x:f>
      </x:c>
      <x:c r="L5" s="12" t="n">
        <x:f>IFERROR(J5*K5,0)</x:f>
        <x:v>0</x:v>
      </x:c>
      <x:c r="M5" s="12" t="str">
        <x:f>IF(J5&lt;0,"负库存",IF(J5=0,"缺货","正常"))</x:f>
        <x:v>缺货</x:v>
      </x:c>
      <x:c r="N5" s="12" t="str">
        <x:f>"数量口径=SKU数量；不做箱/盒/包换算"</x:f>
        <x:v>数量口径=SKU数量；不做箱/盒/包换算</x:v>
      </x:c>
    </x:row>
    <x:row r="6">
      <x:c r="A6" s="12" t="str">
        <x:v>24.2.0001</x:v>
      </x:c>
      <x:c r="B6" s="12" t="str">
        <x:f>IFERROR(XLOOKUP(A6,SKU_Master!A:A,SKU_Master!B:B,""),"")</x:f>
        <x:v>Pokémon Badge宝可梦徽章</x:v>
      </x:c>
      <x:c r="C6" s="12" t="str">
        <x:f>IFERROR(XLOOKUP(A6,SKU_Master!A:A,SKU_Master!C:C,""),"")</x:f>
      </x:c>
      <x:c r="D6" s="12" t="str">
        <x:f>IFERROR(XLOOKUP(A6,SKU_Master!A:A,SKU_Master!D:D,""),"")</x:f>
      </x:c>
      <x:c r="E6" s="12" t="n">
        <x:f>IFERROR(XLOOKUP(A6,SKU_Master!A:A,SKU_Master!E:E,""),"")</x:f>
        <x:v>0.04</x:v>
      </x:c>
      <x:c r="F6" s="12" t="n">
        <x:f>IFERROR(XLOOKUP(A6,SKU_Master!A:A,SKU_Master!F:F,""),"")</x:f>
        <x:v>0.088</x:v>
      </x:c>
      <x:c r="G6" s="12" t="n">
        <x:f>SUMIFS(Inventory_Ledger!F:F,Inventory_Ledger!C:C,A6)</x:f>
        <x:v>0</x:v>
      </x:c>
      <x:c r="H6" s="12" t="n">
        <x:f>SUMIFS(Inventory_Ledger!G:G,Inventory_Ledger!C:C,A6)</x:f>
        <x:v>0</x:v>
      </x:c>
      <x:c r="I6" s="12" t="n">
        <x:f>SUMIFS(Inventory_Ledger!H:H,Inventory_Ledger!C:C,A6,Inventory_Ledger!E:E,"Adjustment")</x:f>
        <x:v>0</x:v>
      </x:c>
      <x:c r="J6" s="12" t="n">
        <x:f>SUMIFS(Inventory_Ledger!H:H,Inventory_Ledger!C:C,A6)</x:f>
        <x:v>0</x:v>
      </x:c>
      <x:c r="K6" s="12" t="str">
        <x:f>IF(G6=0,"",SUMIFS(Inventory_Ledger!J:J,Inventory_Ledger!C:C,A6,Inventory_Ledger!E:E,"Purchase In")/G6)</x:f>
      </x:c>
      <x:c r="L6" s="12" t="n">
        <x:f>IFERROR(J6*K6,0)</x:f>
        <x:v>0</x:v>
      </x:c>
      <x:c r="M6" s="12" t="str">
        <x:f>IF(J6&lt;0,"负库存",IF(J6=0,"缺货","正常"))</x:f>
        <x:v>缺货</x:v>
      </x:c>
      <x:c r="N6" s="12" t="str">
        <x:f>"数量口径=SKU数量；不做箱/盒/包换算"</x:f>
        <x:v>数量口径=SKU数量；不做箱/盒/包换算</x:v>
      </x:c>
    </x:row>
    <x:row r="7">
      <x:c r="A7" s="12" t="str">
        <x:v>19.1.0002</x:v>
      </x:c>
      <x:c r="B7" s="12" t="str">
        <x:f>IFERROR(XLOOKUP(A7,SKU_Master!A:A,SKU_Master!B:B,""),"")</x:f>
        <x:v>宝可梦展示套礼盒二弹</x:v>
      </x:c>
      <x:c r="C7" s="12" t="str">
        <x:f>IFERROR(XLOOKUP(A7,SKU_Master!A:A,SKU_Master!C:C,""),"")</x:f>
      </x:c>
      <x:c r="D7" s="12" t="str">
        <x:f>IFERROR(XLOOKUP(A7,SKU_Master!A:A,SKU_Master!D:D,""),"")</x:f>
      </x:c>
      <x:c r="E7" s="12" t="n">
        <x:f>IFERROR(XLOOKUP(A7,SKU_Master!A:A,SKU_Master!E:E,""),"")</x:f>
        <x:v>0.1</x:v>
      </x:c>
      <x:c r="F7" s="12" t="n">
        <x:f>IFERROR(XLOOKUP(A7,SKU_Master!A:A,SKU_Master!F:F,""),"")</x:f>
        <x:v>0.22</x:v>
      </x:c>
      <x:c r="G7" s="12" t="n">
        <x:f>SUMIFS(Inventory_Ledger!F:F,Inventory_Ledger!C:C,A7)</x:f>
        <x:v>0</x:v>
      </x:c>
      <x:c r="H7" s="12" t="n">
        <x:f>SUMIFS(Inventory_Ledger!G:G,Inventory_Ledger!C:C,A7)</x:f>
        <x:v>0</x:v>
      </x:c>
      <x:c r="I7" s="12" t="n">
        <x:f>SUMIFS(Inventory_Ledger!H:H,Inventory_Ledger!C:C,A7,Inventory_Ledger!E:E,"Adjustment")</x:f>
        <x:v>0</x:v>
      </x:c>
      <x:c r="J7" s="12" t="n">
        <x:f>SUMIFS(Inventory_Ledger!H:H,Inventory_Ledger!C:C,A7)</x:f>
        <x:v>0</x:v>
      </x:c>
      <x:c r="K7" s="12" t="str">
        <x:f>IF(G7=0,"",SUMIFS(Inventory_Ledger!J:J,Inventory_Ledger!C:C,A7,Inventory_Ledger!E:E,"Purchase In")/G7)</x:f>
      </x:c>
      <x:c r="L7" s="12" t="n">
        <x:f>IFERROR(J7*K7,0)</x:f>
        <x:v>0</x:v>
      </x:c>
      <x:c r="M7" s="12" t="str">
        <x:f>IF(J7&lt;0,"负库存",IF(J7=0,"缺货","正常"))</x:f>
        <x:v>缺货</x:v>
      </x:c>
      <x:c r="N7" s="12" t="str">
        <x:f>"数量口径=SKU数量；不做箱/盒/包换算"</x:f>
        <x:v>数量口径=SKU数量；不做箱/盒/包换算</x:v>
      </x:c>
    </x:row>
    <x:row r="8">
      <x:c r="A8" s="12" t="str">
        <x:v>19.1.0001</x:v>
      </x:c>
      <x:c r="B8" s="12" t="str">
        <x:f>IFERROR(XLOOKUP(A8,SKU_Master!A:A,SKU_Master!B:B,""),"")</x:f>
        <x:v>宝可梦训练家收藏礼盒</x:v>
      </x:c>
      <x:c r="C8" s="12" t="str">
        <x:f>IFERROR(XLOOKUP(A8,SKU_Master!A:A,SKU_Master!C:C,""),"")</x:f>
      </x:c>
      <x:c r="D8" s="12" t="str">
        <x:f>IFERROR(XLOOKUP(A8,SKU_Master!A:A,SKU_Master!D:D,""),"")</x:f>
      </x:c>
      <x:c r="E8" s="12" t="n">
        <x:f>IFERROR(XLOOKUP(A8,SKU_Master!A:A,SKU_Master!E:E,""),"")</x:f>
        <x:v>1.2</x:v>
      </x:c>
      <x:c r="F8" s="12" t="n">
        <x:f>IFERROR(XLOOKUP(A8,SKU_Master!A:A,SKU_Master!F:F,""),"")</x:f>
        <x:v>2.646</x:v>
      </x:c>
      <x:c r="G8" s="12" t="n">
        <x:f>SUMIFS(Inventory_Ledger!F:F,Inventory_Ledger!C:C,A8)</x:f>
        <x:v>0</x:v>
      </x:c>
      <x:c r="H8" s="12" t="n">
        <x:f>SUMIFS(Inventory_Ledger!G:G,Inventory_Ledger!C:C,A8)</x:f>
        <x:v>0</x:v>
      </x:c>
      <x:c r="I8" s="12" t="n">
        <x:f>SUMIFS(Inventory_Ledger!H:H,Inventory_Ledger!C:C,A8,Inventory_Ledger!E:E,"Adjustment")</x:f>
        <x:v>0</x:v>
      </x:c>
      <x:c r="J8" s="12" t="n">
        <x:f>SUMIFS(Inventory_Ledger!H:H,Inventory_Ledger!C:C,A8)</x:f>
        <x:v>0</x:v>
      </x:c>
      <x:c r="K8" s="12" t="str">
        <x:f>IF(G8=0,"",SUMIFS(Inventory_Ledger!J:J,Inventory_Ledger!C:C,A8,Inventory_Ledger!E:E,"Purchase In")/G8)</x:f>
      </x:c>
      <x:c r="L8" s="12" t="n">
        <x:f>IFERROR(J8*K8,0)</x:f>
        <x:v>0</x:v>
      </x:c>
      <x:c r="M8" s="12" t="str">
        <x:f>IF(J8&lt;0,"负库存",IF(J8=0,"缺货","正常"))</x:f>
        <x:v>缺货</x:v>
      </x:c>
      <x:c r="N8" s="12" t="str">
        <x:f>"数量口径=SKU数量；不做箱/盒/包换算"</x:f>
        <x:v>数量口径=SKU数量；不做箱/盒/包换算</x:v>
      </x:c>
    </x:row>
    <x:row r="9">
      <x:c r="A9" s="12" t="str">
        <x:v>19.1.0003</x:v>
      </x:c>
      <x:c r="B9" s="12" t="str">
        <x:f>IFERROR(XLOOKUP(A9,SKU_Master!A:A,SKU_Master!B:B,""),"")</x:f>
        <x:v>宝可梦7.0 勇</x:v>
      </x:c>
      <x:c r="C9" s="12" t="str">
        <x:f>IFERROR(XLOOKUP(A9,SKU_Master!A:A,SKU_Master!C:C,""),"")</x:f>
      </x:c>
      <x:c r="D9" s="12" t="str">
        <x:f>IFERROR(XLOOKUP(A9,SKU_Master!A:A,SKU_Master!D:D,""),"")</x:f>
      </x:c>
      <x:c r="E9" s="12" t="n">
        <x:f>IFERROR(XLOOKUP(A9,SKU_Master!A:A,SKU_Master!E:E,""),"")</x:f>
        <x:v>0.04</x:v>
      </x:c>
      <x:c r="F9" s="12" t="n">
        <x:f>IFERROR(XLOOKUP(A9,SKU_Master!A:A,SKU_Master!F:F,""),"")</x:f>
        <x:v>0.088</x:v>
      </x:c>
      <x:c r="G9" s="12" t="n">
        <x:f>SUMIFS(Inventory_Ledger!F:F,Inventory_Ledger!C:C,A9)</x:f>
        <x:v>0</x:v>
      </x:c>
      <x:c r="H9" s="12" t="n">
        <x:f>SUMIFS(Inventory_Ledger!G:G,Inventory_Ledger!C:C,A9)</x:f>
        <x:v>0</x:v>
      </x:c>
      <x:c r="I9" s="12" t="n">
        <x:f>SUMIFS(Inventory_Ledger!H:H,Inventory_Ledger!C:C,A9,Inventory_Ledger!E:E,"Adjustment")</x:f>
        <x:v>0</x:v>
      </x:c>
      <x:c r="J9" s="12" t="n">
        <x:f>SUMIFS(Inventory_Ledger!H:H,Inventory_Ledger!C:C,A9)</x:f>
        <x:v>0</x:v>
      </x:c>
      <x:c r="K9" s="12" t="str">
        <x:f>IF(G9=0,"",SUMIFS(Inventory_Ledger!J:J,Inventory_Ledger!C:C,A9,Inventory_Ledger!E:E,"Purchase In")/G9)</x:f>
      </x:c>
      <x:c r="L9" s="12" t="n">
        <x:f>IFERROR(J9*K9,0)</x:f>
        <x:v>0</x:v>
      </x:c>
      <x:c r="M9" s="12" t="str">
        <x:f>IF(J9&lt;0,"负库存",IF(J9=0,"缺货","正常"))</x:f>
        <x:v>缺货</x:v>
      </x:c>
      <x:c r="N9" s="12" t="str">
        <x:f>"数量口径=SKU数量；不做箱/盒/包换算"</x:f>
        <x:v>数量口径=SKU数量；不做箱/盒/包换算</x:v>
      </x:c>
    </x:row>
    <x:row r="10">
      <x:c r="A10" s="12" t="str">
        <x:v>19.1.0004</x:v>
      </x:c>
      <x:c r="B10" s="12" t="str">
        <x:f>IFERROR(XLOOKUP(A10,SKU_Master!A:A,SKU_Master!B:B,""),"")</x:f>
        <x:v>宝可梦7.0 魅</x:v>
      </x:c>
      <x:c r="C10" s="12" t="str">
        <x:f>IFERROR(XLOOKUP(A10,SKU_Master!A:A,SKU_Master!C:C,""),"")</x:f>
      </x:c>
      <x:c r="D10" s="12" t="str">
        <x:f>IFERROR(XLOOKUP(A10,SKU_Master!A:A,SKU_Master!D:D,""),"")</x:f>
      </x:c>
      <x:c r="E10" s="12" t="n">
        <x:f>IFERROR(XLOOKUP(A10,SKU_Master!A:A,SKU_Master!E:E,""),"")</x:f>
        <x:v>0.04</x:v>
      </x:c>
      <x:c r="F10" s="12" t="n">
        <x:f>IFERROR(XLOOKUP(A10,SKU_Master!A:A,SKU_Master!F:F,""),"")</x:f>
        <x:v>0.088</x:v>
      </x:c>
      <x:c r="G10" s="12" t="n">
        <x:f>SUMIFS(Inventory_Ledger!F:F,Inventory_Ledger!C:C,A10)</x:f>
        <x:v>0</x:v>
      </x:c>
      <x:c r="H10" s="12" t="n">
        <x:f>SUMIFS(Inventory_Ledger!G:G,Inventory_Ledger!C:C,A10)</x:f>
        <x:v>0</x:v>
      </x:c>
      <x:c r="I10" s="12" t="n">
        <x:f>SUMIFS(Inventory_Ledger!H:H,Inventory_Ledger!C:C,A10,Inventory_Ledger!E:E,"Adjustment")</x:f>
        <x:v>0</x:v>
      </x:c>
      <x:c r="J10" s="12" t="n">
        <x:f>SUMIFS(Inventory_Ledger!H:H,Inventory_Ledger!C:C,A10)</x:f>
        <x:v>0</x:v>
      </x:c>
      <x:c r="K10" s="12" t="str">
        <x:f>IF(G10=0,"",SUMIFS(Inventory_Ledger!J:J,Inventory_Ledger!C:C,A10,Inventory_Ledger!E:E,"Purchase In")/G10)</x:f>
      </x:c>
      <x:c r="L10" s="12" t="n">
        <x:f>IFERROR(J10*K10,0)</x:f>
        <x:v>0</x:v>
      </x:c>
      <x:c r="M10" s="12" t="str">
        <x:f>IF(J10&lt;0,"负库存",IF(J10=0,"缺货","正常"))</x:f>
        <x:v>缺货</x:v>
      </x:c>
      <x:c r="N10" s="12" t="str">
        <x:f>"数量口径=SKU数量；不做箱/盒/包换算"</x:f>
        <x:v>数量口径=SKU数量；不做箱/盒/包换算</x:v>
      </x:c>
    </x:row>
    <x:row r="11">
      <x:c r="A11" s="12" t="str">
        <x:v>25.1.0002</x:v>
      </x:c>
      <x:c r="B11" s="12" t="str">
        <x:f>IFERROR(XLOOKUP(A11,SKU_Master!A:A,SKU_Master!B:B,""),"")</x:f>
        <x:v>Riftbound TCG Vol.1 (Jumbo)符文战场 1 肥</x:v>
      </x:c>
      <x:c r="C11" s="12" t="str">
        <x:f>IFERROR(XLOOKUP(A11,SKU_Master!A:A,SKU_Master!C:C,""),"")</x:f>
      </x:c>
      <x:c r="D11" s="12" t="str">
        <x:f>IFERROR(XLOOKUP(A11,SKU_Master!A:A,SKU_Master!D:D,""),"")</x:f>
      </x:c>
      <x:c r="E11" s="12" t="n">
        <x:f>IFERROR(XLOOKUP(A11,SKU_Master!A:A,SKU_Master!E:E,""),"")</x:f>
        <x:v>0.04</x:v>
      </x:c>
      <x:c r="F11" s="12" t="n">
        <x:f>IFERROR(XLOOKUP(A11,SKU_Master!A:A,SKU_Master!F:F,""),"")</x:f>
        <x:v>0.088</x:v>
      </x:c>
      <x:c r="G11" s="12" t="n">
        <x:f>SUMIFS(Inventory_Ledger!F:F,Inventory_Ledger!C:C,A11)</x:f>
        <x:v>0</x:v>
      </x:c>
      <x:c r="H11" s="12" t="n">
        <x:f>SUMIFS(Inventory_Ledger!G:G,Inventory_Ledger!C:C,A11)</x:f>
        <x:v>0</x:v>
      </x:c>
      <x:c r="I11" s="12" t="n">
        <x:f>SUMIFS(Inventory_Ledger!H:H,Inventory_Ledger!C:C,A11,Inventory_Ledger!E:E,"Adjustment")</x:f>
        <x:v>0</x:v>
      </x:c>
      <x:c r="J11" s="12" t="n">
        <x:f>SUMIFS(Inventory_Ledger!H:H,Inventory_Ledger!C:C,A11)</x:f>
        <x:v>0</x:v>
      </x:c>
      <x:c r="K11" s="12" t="str">
        <x:f>IF(G11=0,"",SUMIFS(Inventory_Ledger!J:J,Inventory_Ledger!C:C,A11,Inventory_Ledger!E:E,"Purchase In")/G11)</x:f>
      </x:c>
      <x:c r="L11" s="12" t="n">
        <x:f>IFERROR(J11*K11,0)</x:f>
        <x:v>0</x:v>
      </x:c>
      <x:c r="M11" s="12" t="str">
        <x:f>IF(J11&lt;0,"负库存",IF(J11=0,"缺货","正常"))</x:f>
        <x:v>缺货</x:v>
      </x:c>
      <x:c r="N11" s="12" t="str">
        <x:f>"数量口径=SKU数量；不做箱/盒/包换算"</x:f>
        <x:v>数量口径=SKU数量；不做箱/盒/包换算</x:v>
      </x:c>
    </x:row>
    <x:row r="12">
      <x:c r="A12" s="12" t="str">
        <x:v>25.1.0001</x:v>
      </x:c>
      <x:c r="B12" s="12" t="str">
        <x:f>IFERROR(XLOOKUP(A12,SKU_Master!A:A,SKU_Master!B:B,""),"")</x:f>
        <x:v>Riftbound TCG Vol.1 (Slim)符文战场 1 瘦</x:v>
      </x:c>
      <x:c r="C12" s="12" t="str">
        <x:f>IFERROR(XLOOKUP(A12,SKU_Master!A:A,SKU_Master!C:C,""),"")</x:f>
      </x:c>
      <x:c r="D12" s="12" t="str">
        <x:f>IFERROR(XLOOKUP(A12,SKU_Master!A:A,SKU_Master!D:D,""),"")</x:f>
      </x:c>
      <x:c r="E12" s="12" t="n">
        <x:f>IFERROR(XLOOKUP(A12,SKU_Master!A:A,SKU_Master!E:E,""),"")</x:f>
        <x:v>0.01</x:v>
      </x:c>
      <x:c r="F12" s="12" t="n">
        <x:f>IFERROR(XLOOKUP(A12,SKU_Master!A:A,SKU_Master!F:F,""),"")</x:f>
        <x:v>0.022</x:v>
      </x:c>
      <x:c r="G12" s="12" t="n">
        <x:f>SUMIFS(Inventory_Ledger!F:F,Inventory_Ledger!C:C,A12)</x:f>
        <x:v>0</x:v>
      </x:c>
      <x:c r="H12" s="12" t="n">
        <x:f>SUMIFS(Inventory_Ledger!G:G,Inventory_Ledger!C:C,A12)</x:f>
        <x:v>0</x:v>
      </x:c>
      <x:c r="I12" s="12" t="n">
        <x:f>SUMIFS(Inventory_Ledger!H:H,Inventory_Ledger!C:C,A12,Inventory_Ledger!E:E,"Adjustment")</x:f>
        <x:v>0</x:v>
      </x:c>
      <x:c r="J12" s="12" t="n">
        <x:f>SUMIFS(Inventory_Ledger!H:H,Inventory_Ledger!C:C,A12)</x:f>
        <x:v>0</x:v>
      </x:c>
      <x:c r="K12" s="12" t="str">
        <x:f>IF(G12=0,"",SUMIFS(Inventory_Ledger!J:J,Inventory_Ledger!C:C,A12,Inventory_Ledger!E:E,"Purchase In")/G12)</x:f>
      </x:c>
      <x:c r="L12" s="12" t="n">
        <x:f>IFERROR(J12*K12,0)</x:f>
        <x:v>0</x:v>
      </x:c>
      <x:c r="M12" s="12" t="str">
        <x:f>IF(J12&lt;0,"负库存",IF(J12=0,"缺货","正常"))</x:f>
        <x:v>缺货</x:v>
      </x:c>
      <x:c r="N12" s="12" t="str">
        <x:f>"数量口径=SKU数量；不做箱/盒/包换算"</x:f>
        <x:v>数量口径=SKU数量；不做箱/盒/包换算</x:v>
      </x:c>
    </x:row>
    <x:row r="13">
      <x:c r="A13" s="12" t="str">
        <x:v>25.1.0018</x:v>
      </x:c>
      <x:c r="B13" s="12" t="str">
        <x:f>IFERROR(XLOOKUP(A13,SKU_Master!A:A,SKU_Master!B:B,""),"")</x:f>
        <x:v>Riftbound TCG Vol.2 (Jumbo)符文战场 2 肥</x:v>
      </x:c>
      <x:c r="C13" s="12" t="str">
        <x:f>IFERROR(XLOOKUP(A13,SKU_Master!A:A,SKU_Master!C:C,""),"")</x:f>
      </x:c>
      <x:c r="D13" s="12" t="str">
        <x:f>IFERROR(XLOOKUP(A13,SKU_Master!A:A,SKU_Master!D:D,""),"")</x:f>
      </x:c>
      <x:c r="E13" s="12" t="n">
        <x:f>IFERROR(XLOOKUP(A13,SKU_Master!A:A,SKU_Master!E:E,""),"")</x:f>
        <x:v>0.04</x:v>
      </x:c>
      <x:c r="F13" s="12" t="n">
        <x:f>IFERROR(XLOOKUP(A13,SKU_Master!A:A,SKU_Master!F:F,""),"")</x:f>
        <x:v>0.088</x:v>
      </x:c>
      <x:c r="G13" s="12" t="n">
        <x:f>SUMIFS(Inventory_Ledger!F:F,Inventory_Ledger!C:C,A13)</x:f>
        <x:v>0</x:v>
      </x:c>
      <x:c r="H13" s="12" t="n">
        <x:f>SUMIFS(Inventory_Ledger!G:G,Inventory_Ledger!C:C,A13)</x:f>
        <x:v>0</x:v>
      </x:c>
      <x:c r="I13" s="12" t="n">
        <x:f>SUMIFS(Inventory_Ledger!H:H,Inventory_Ledger!C:C,A13,Inventory_Ledger!E:E,"Adjustment")</x:f>
        <x:v>0</x:v>
      </x:c>
      <x:c r="J13" s="12" t="n">
        <x:f>SUMIFS(Inventory_Ledger!H:H,Inventory_Ledger!C:C,A13)</x:f>
        <x:v>0</x:v>
      </x:c>
      <x:c r="K13" s="12" t="str">
        <x:f>IF(G13=0,"",SUMIFS(Inventory_Ledger!J:J,Inventory_Ledger!C:C,A13,Inventory_Ledger!E:E,"Purchase In")/G13)</x:f>
      </x:c>
      <x:c r="L13" s="12" t="n">
        <x:f>IFERROR(J13*K13,0)</x:f>
        <x:v>0</x:v>
      </x:c>
      <x:c r="M13" s="12" t="str">
        <x:f>IF(J13&lt;0,"负库存",IF(J13=0,"缺货","正常"))</x:f>
        <x:v>缺货</x:v>
      </x:c>
      <x:c r="N13" s="12" t="str">
        <x:f>"数量口径=SKU数量；不做箱/盒/包换算"</x:f>
        <x:v>数量口径=SKU数量；不做箱/盒/包换算</x:v>
      </x:c>
    </x:row>
    <x:row r="14">
      <x:c r="A14" s="12" t="str">
        <x:v>25.1.0017</x:v>
      </x:c>
      <x:c r="B14" s="12" t="str">
        <x:f>IFERROR(XLOOKUP(A14,SKU_Master!A:A,SKU_Master!B:B,""),"")</x:f>
        <x:v>Riftbound TCG Vol.2 (Slim)符文战场 2 瘦</x:v>
      </x:c>
      <x:c r="C14" s="12" t="str">
        <x:f>IFERROR(XLOOKUP(A14,SKU_Master!A:A,SKU_Master!C:C,""),"")</x:f>
      </x:c>
      <x:c r="D14" s="12" t="str">
        <x:f>IFERROR(XLOOKUP(A14,SKU_Master!A:A,SKU_Master!D:D,""),"")</x:f>
      </x:c>
      <x:c r="E14" s="12" t="n">
        <x:f>IFERROR(XLOOKUP(A14,SKU_Master!A:A,SKU_Master!E:E,""),"")</x:f>
        <x:v>0.01</x:v>
      </x:c>
      <x:c r="F14" s="12" t="n">
        <x:f>IFERROR(XLOOKUP(A14,SKU_Master!A:A,SKU_Master!F:F,""),"")</x:f>
        <x:v>0.022</x:v>
      </x:c>
      <x:c r="G14" s="12" t="n">
        <x:f>SUMIFS(Inventory_Ledger!F:F,Inventory_Ledger!C:C,A14)</x:f>
        <x:v>0</x:v>
      </x:c>
      <x:c r="H14" s="12" t="n">
        <x:f>SUMIFS(Inventory_Ledger!G:G,Inventory_Ledger!C:C,A14)</x:f>
        <x:v>0</x:v>
      </x:c>
      <x:c r="I14" s="12" t="n">
        <x:f>SUMIFS(Inventory_Ledger!H:H,Inventory_Ledger!C:C,A14,Inventory_Ledger!E:E,"Adjustment")</x:f>
        <x:v>0</x:v>
      </x:c>
      <x:c r="J14" s="12" t="n">
        <x:f>SUMIFS(Inventory_Ledger!H:H,Inventory_Ledger!C:C,A14)</x:f>
        <x:v>0</x:v>
      </x:c>
      <x:c r="K14" s="12" t="str">
        <x:f>IF(G14=0,"",SUMIFS(Inventory_Ledger!J:J,Inventory_Ledger!C:C,A14,Inventory_Ledger!E:E,"Purchase In")/G14)</x:f>
      </x:c>
      <x:c r="L14" s="12" t="n">
        <x:f>IFERROR(J14*K14,0)</x:f>
        <x:v>0</x:v>
      </x:c>
      <x:c r="M14" s="12" t="str">
        <x:f>IF(J14&lt;0,"负库存",IF(J14=0,"缺货","正常"))</x:f>
        <x:v>缺货</x:v>
      </x:c>
      <x:c r="N14" s="12" t="str">
        <x:f>"数量口径=SKU数量；不做箱/盒/包换算"</x:f>
        <x:v>数量口径=SKU数量；不做箱/盒/包换算</x:v>
      </x:c>
    </x:row>
    <x:row r="15">
      <x:c r="A15" s="12" t="str">
        <x:v>25.1.0030</x:v>
      </x:c>
      <x:c r="B15" s="12" t="str">
        <x:f>IFERROR(XLOOKUP(A15,SKU_Master!A:A,SKU_Master!B:B,""),"")</x:f>
        <x:v>Riftbound TCG Vol.3 (Jumbo)符文战场 3 肥</x:v>
      </x:c>
      <x:c r="C15" s="12" t="str">
        <x:f>IFERROR(XLOOKUP(A15,SKU_Master!A:A,SKU_Master!C:C,""),"")</x:f>
      </x:c>
      <x:c r="D15" s="12" t="str">
        <x:f>IFERROR(XLOOKUP(A15,SKU_Master!A:A,SKU_Master!D:D,""),"")</x:f>
      </x:c>
      <x:c r="E15" s="12" t="n">
        <x:f>IFERROR(XLOOKUP(A15,SKU_Master!A:A,SKU_Master!E:E,""),"")</x:f>
        <x:v>0.04</x:v>
      </x:c>
      <x:c r="F15" s="12" t="n">
        <x:f>IFERROR(XLOOKUP(A15,SKU_Master!A:A,SKU_Master!F:F,""),"")</x:f>
        <x:v>0.088</x:v>
      </x:c>
      <x:c r="G15" s="12" t="n">
        <x:f>SUMIFS(Inventory_Ledger!F:F,Inventory_Ledger!C:C,A15)</x:f>
        <x:v>0</x:v>
      </x:c>
      <x:c r="H15" s="12" t="n">
        <x:f>SUMIFS(Inventory_Ledger!G:G,Inventory_Ledger!C:C,A15)</x:f>
        <x:v>0</x:v>
      </x:c>
      <x:c r="I15" s="12" t="n">
        <x:f>SUMIFS(Inventory_Ledger!H:H,Inventory_Ledger!C:C,A15,Inventory_Ledger!E:E,"Adjustment")</x:f>
        <x:v>0</x:v>
      </x:c>
      <x:c r="J15" s="12" t="n">
        <x:f>SUMIFS(Inventory_Ledger!H:H,Inventory_Ledger!C:C,A15)</x:f>
        <x:v>0</x:v>
      </x:c>
      <x:c r="K15" s="12" t="str">
        <x:f>IF(G15=0,"",SUMIFS(Inventory_Ledger!J:J,Inventory_Ledger!C:C,A15,Inventory_Ledger!E:E,"Purchase In")/G15)</x:f>
      </x:c>
      <x:c r="L15" s="12" t="n">
        <x:f>IFERROR(J15*K15,0)</x:f>
        <x:v>0</x:v>
      </x:c>
      <x:c r="M15" s="12" t="str">
        <x:f>IF(J15&lt;0,"负库存",IF(J15=0,"缺货","正常"))</x:f>
        <x:v>缺货</x:v>
      </x:c>
      <x:c r="N15" s="12" t="str">
        <x:f>"数量口径=SKU数量；不做箱/盒/包换算"</x:f>
        <x:v>数量口径=SKU数量；不做箱/盒/包换算</x:v>
      </x:c>
    </x:row>
    <x:row r="16">
      <x:c r="A16" s="12" t="str">
        <x:v>25.1.0029</x:v>
      </x:c>
      <x:c r="B16" s="12" t="str">
        <x:f>IFERROR(XLOOKUP(A16,SKU_Master!A:A,SKU_Master!B:B,""),"")</x:f>
        <x:v>Riftbound TCG Vol.3 (Slim)符文战场 3 瘦</x:v>
      </x:c>
      <x:c r="C16" s="12" t="str">
        <x:f>IFERROR(XLOOKUP(A16,SKU_Master!A:A,SKU_Master!C:C,""),"")</x:f>
      </x:c>
      <x:c r="D16" s="12" t="str">
        <x:f>IFERROR(XLOOKUP(A16,SKU_Master!A:A,SKU_Master!D:D,""),"")</x:f>
      </x:c>
      <x:c r="E16" s="12" t="n">
        <x:f>IFERROR(XLOOKUP(A16,SKU_Master!A:A,SKU_Master!E:E,""),"")</x:f>
        <x:v>0.01</x:v>
      </x:c>
      <x:c r="F16" s="12" t="n">
        <x:f>IFERROR(XLOOKUP(A16,SKU_Master!A:A,SKU_Master!F:F,""),"")</x:f>
        <x:v>0.022</x:v>
      </x:c>
      <x:c r="G16" s="12" t="n">
        <x:f>SUMIFS(Inventory_Ledger!F:F,Inventory_Ledger!C:C,A16)</x:f>
        <x:v>0</x:v>
      </x:c>
      <x:c r="H16" s="12" t="n">
        <x:f>SUMIFS(Inventory_Ledger!G:G,Inventory_Ledger!C:C,A16)</x:f>
        <x:v>0</x:v>
      </x:c>
      <x:c r="I16" s="12" t="n">
        <x:f>SUMIFS(Inventory_Ledger!H:H,Inventory_Ledger!C:C,A16,Inventory_Ledger!E:E,"Adjustment")</x:f>
        <x:v>0</x:v>
      </x:c>
      <x:c r="J16" s="12" t="n">
        <x:f>SUMIFS(Inventory_Ledger!H:H,Inventory_Ledger!C:C,A16)</x:f>
        <x:v>0</x:v>
      </x:c>
      <x:c r="K16" s="12" t="str">
        <x:f>IF(G16=0,"",SUMIFS(Inventory_Ledger!J:J,Inventory_Ledger!C:C,A16,Inventory_Ledger!E:E,"Purchase In")/G16)</x:f>
      </x:c>
      <x:c r="L16" s="12" t="n">
        <x:f>IFERROR(J16*K16,0)</x:f>
        <x:v>0</x:v>
      </x:c>
      <x:c r="M16" s="12" t="str">
        <x:f>IF(J16&lt;0,"负库存",IF(J16=0,"缺货","正常"))</x:f>
        <x:v>缺货</x:v>
      </x:c>
      <x:c r="N16" s="12" t="str">
        <x:f>"数量口径=SKU数量；不做箱/盒/包换算"</x:f>
        <x:v>数量口径=SKU数量；不做箱/盒/包换算</x:v>
      </x:c>
    </x:row>
    <x:row r="17">
      <x:c r="A17" s="12" t="str">
        <x:v>TCG00016</x:v>
      </x:c>
      <x:c r="B17" s="12" t="str">
        <x:f>IFERROR(XLOOKUP(A17,SKU_Master!A:A,SKU_Master!B:B,""),"")</x:f>
        <x:v>Riftbound Spring Festival</x:v>
      </x:c>
      <x:c r="C17" s="12" t="str">
        <x:f>IFERROR(XLOOKUP(A17,SKU_Master!A:A,SKU_Master!C:C,""),"")</x:f>
      </x:c>
      <x:c r="D17" s="12" t="str">
        <x:f>IFERROR(XLOOKUP(A17,SKU_Master!A:A,SKU_Master!D:D,""),"")</x:f>
      </x:c>
      <x:c r="E17" s="12" t="n">
        <x:f>IFERROR(XLOOKUP(A17,SKU_Master!A:A,SKU_Master!E:E,""),"")</x:f>
        <x:v>1.2</x:v>
      </x:c>
      <x:c r="F17" s="12" t="n">
        <x:f>IFERROR(XLOOKUP(A17,SKU_Master!A:A,SKU_Master!F:F,""),"")</x:f>
        <x:v>2.646</x:v>
      </x:c>
      <x:c r="G17" s="12" t="n">
        <x:f>SUMIFS(Inventory_Ledger!F:F,Inventory_Ledger!C:C,A17)</x:f>
        <x:v>0</x:v>
      </x:c>
      <x:c r="H17" s="12" t="n">
        <x:f>SUMIFS(Inventory_Ledger!G:G,Inventory_Ledger!C:C,A17)</x:f>
        <x:v>0</x:v>
      </x:c>
      <x:c r="I17" s="12" t="n">
        <x:f>SUMIFS(Inventory_Ledger!H:H,Inventory_Ledger!C:C,A17,Inventory_Ledger!E:E,"Adjustment")</x:f>
        <x:v>0</x:v>
      </x:c>
      <x:c r="J17" s="12" t="n">
        <x:f>SUMIFS(Inventory_Ledger!H:H,Inventory_Ledger!C:C,A17)</x:f>
        <x:v>0</x:v>
      </x:c>
      <x:c r="K17" s="12" t="str">
        <x:f>IF(G17=0,"",SUMIFS(Inventory_Ledger!J:J,Inventory_Ledger!C:C,A17,Inventory_Ledger!E:E,"Purchase In")/G17)</x:f>
      </x:c>
      <x:c r="L17" s="12" t="n">
        <x:f>IFERROR(J17*K17,0)</x:f>
        <x:v>0</x:v>
      </x:c>
      <x:c r="M17" s="12" t="str">
        <x:f>IF(J17&lt;0,"负库存",IF(J17=0,"缺货","正常"))</x:f>
        <x:v>缺货</x:v>
      </x:c>
      <x:c r="N17" s="12" t="str">
        <x:f>"数量口径=SKU数量；不做箱/盒/包换算"</x:f>
        <x:v>数量口径=SKU数量；不做箱/盒/包换算</x:v>
      </x:c>
    </x:row>
    <x:row r="18">
      <x:c r="A18" s="12" t="str">
        <x:v>TCG00017</x:v>
      </x:c>
      <x:c r="B18" s="12" t="str">
        <x:f>IFERROR(XLOOKUP(A18,SKU_Master!A:A,SKU_Master!B:B,""),"")</x:f>
        <x:v>DISNEY LORCANA 1 Pack</x:v>
      </x:c>
      <x:c r="C18" s="12" t="str">
        <x:f>IFERROR(XLOOKUP(A18,SKU_Master!A:A,SKU_Master!C:C,""),"")</x:f>
      </x:c>
      <x:c r="D18" s="12" t="str">
        <x:f>IFERROR(XLOOKUP(A18,SKU_Master!A:A,SKU_Master!D:D,""),"")</x:f>
      </x:c>
      <x:c r="E18" s="12" t="n">
        <x:f>IFERROR(XLOOKUP(A18,SKU_Master!A:A,SKU_Master!E:E,""),"")</x:f>
        <x:v>0.01</x:v>
      </x:c>
      <x:c r="F18" s="12" t="n">
        <x:f>IFERROR(XLOOKUP(A18,SKU_Master!A:A,SKU_Master!F:F,""),"")</x:f>
        <x:v>0.022</x:v>
      </x:c>
      <x:c r="G18" s="12" t="n">
        <x:f>SUMIFS(Inventory_Ledger!F:F,Inventory_Ledger!C:C,A18)</x:f>
        <x:v>0</x:v>
      </x:c>
      <x:c r="H18" s="12" t="n">
        <x:f>SUMIFS(Inventory_Ledger!G:G,Inventory_Ledger!C:C,A18)</x:f>
        <x:v>0</x:v>
      </x:c>
      <x:c r="I18" s="12" t="n">
        <x:f>SUMIFS(Inventory_Ledger!H:H,Inventory_Ledger!C:C,A18,Inventory_Ledger!E:E,"Adjustment")</x:f>
        <x:v>0</x:v>
      </x:c>
      <x:c r="J18" s="12" t="n">
        <x:f>SUMIFS(Inventory_Ledger!H:H,Inventory_Ledger!C:C,A18)</x:f>
        <x:v>0</x:v>
      </x:c>
      <x:c r="K18" s="12" t="str">
        <x:f>IF(G18=0,"",SUMIFS(Inventory_Ledger!J:J,Inventory_Ledger!C:C,A18,Inventory_Ledger!E:E,"Purchase In")/G18)</x:f>
      </x:c>
      <x:c r="L18" s="12" t="n">
        <x:f>IFERROR(J18*K18,0)</x:f>
        <x:v>0</x:v>
      </x:c>
      <x:c r="M18" s="12" t="str">
        <x:f>IF(J18&lt;0,"负库存",IF(J18=0,"缺货","正常"))</x:f>
        <x:v>缺货</x:v>
      </x:c>
      <x:c r="N18" s="12" t="str">
        <x:f>"数量口径=SKU数量；不做箱/盒/包换算"</x:f>
        <x:v>数量口径=SKU数量；不做箱/盒/包换算</x:v>
      </x:c>
    </x:row>
    <x:row r="19">
      <x:c r="A19" s="12" t="str">
        <x:v>19.1.0005</x:v>
      </x:c>
      <x:c r="B19" s="12" t="str">
        <x:f>IFERROR(XLOOKUP(A19,SKU_Master!A:A,SKU_Master!B:B,""),"")</x:f>
        <x:v>[Set 11] Booster Box洛卡纳英文11弹</x:v>
      </x:c>
      <x:c r="C19" s="12" t="str">
        <x:f>IFERROR(XLOOKUP(A19,SKU_Master!A:A,SKU_Master!C:C,""),"")</x:f>
      </x:c>
      <x:c r="D19" s="12" t="str">
        <x:f>IFERROR(XLOOKUP(A19,SKU_Master!A:A,SKU_Master!D:D,""),"")</x:f>
      </x:c>
      <x:c r="E19" s="12" t="n">
        <x:f>IFERROR(XLOOKUP(A19,SKU_Master!A:A,SKU_Master!E:E,""),"")</x:f>
        <x:v>0.02</x:v>
      </x:c>
      <x:c r="F19" s="12" t="n">
        <x:f>IFERROR(XLOOKUP(A19,SKU_Master!A:A,SKU_Master!F:F,""),"")</x:f>
        <x:v>0.044</x:v>
      </x:c>
      <x:c r="G19" s="12" t="n">
        <x:f>SUMIFS(Inventory_Ledger!F:F,Inventory_Ledger!C:C,A19)</x:f>
        <x:v>0</x:v>
      </x:c>
      <x:c r="H19" s="12" t="n">
        <x:f>SUMIFS(Inventory_Ledger!G:G,Inventory_Ledger!C:C,A19)</x:f>
        <x:v>0</x:v>
      </x:c>
      <x:c r="I19" s="12" t="n">
        <x:f>SUMIFS(Inventory_Ledger!H:H,Inventory_Ledger!C:C,A19,Inventory_Ledger!E:E,"Adjustment")</x:f>
        <x:v>0</x:v>
      </x:c>
      <x:c r="J19" s="12" t="n">
        <x:f>SUMIFS(Inventory_Ledger!H:H,Inventory_Ledger!C:C,A19)</x:f>
        <x:v>0</x:v>
      </x:c>
      <x:c r="K19" s="12" t="str">
        <x:f>IF(G19=0,"",SUMIFS(Inventory_Ledger!J:J,Inventory_Ledger!C:C,A19,Inventory_Ledger!E:E,"Purchase In")/G19)</x:f>
      </x:c>
      <x:c r="L19" s="12" t="n">
        <x:f>IFERROR(J19*K19,0)</x:f>
        <x:v>0</x:v>
      </x:c>
      <x:c r="M19" s="12" t="str">
        <x:f>IF(J19&lt;0,"负库存",IF(J19=0,"缺货","正常"))</x:f>
        <x:v>缺货</x:v>
      </x:c>
      <x:c r="N19" s="12" t="str">
        <x:f>"数量口径=SKU数量；不做箱/盒/包换算"</x:f>
        <x:v>数量口径=SKU数量；不做箱/盒/包换算</x:v>
      </x:c>
    </x:row>
    <x:row r="20">
      <x:c r="A20" s="12" t="str">
        <x:v>TCG00019</x:v>
      </x:c>
      <x:c r="B20" s="12" t="str">
        <x:f>IFERROR(XLOOKUP(A20,SKU_Master!A:A,SKU_Master!B:B,""),"")</x:f>
        <x:v>Pokemon M2A</x:v>
      </x:c>
      <x:c r="C20" s="12" t="str">
        <x:f>IFERROR(XLOOKUP(A20,SKU_Master!A:A,SKU_Master!C:C,""),"")</x:f>
      </x:c>
      <x:c r="D20" s="12" t="str">
        <x:f>IFERROR(XLOOKUP(A20,SKU_Master!A:A,SKU_Master!D:D,""),"")</x:f>
      </x:c>
      <x:c r="E20" s="12" t="n">
        <x:f>IFERROR(XLOOKUP(A20,SKU_Master!A:A,SKU_Master!E:E,""),"")</x:f>
        <x:v>0.02</x:v>
      </x:c>
      <x:c r="F20" s="12" t="n">
        <x:f>IFERROR(XLOOKUP(A20,SKU_Master!A:A,SKU_Master!F:F,""),"")</x:f>
        <x:v>0.044</x:v>
      </x:c>
      <x:c r="G20" s="12" t="n">
        <x:f>SUMIFS(Inventory_Ledger!F:F,Inventory_Ledger!C:C,A20)</x:f>
        <x:v>0</x:v>
      </x:c>
      <x:c r="H20" s="12" t="n">
        <x:f>SUMIFS(Inventory_Ledger!G:G,Inventory_Ledger!C:C,A20)</x:f>
        <x:v>0</x:v>
      </x:c>
      <x:c r="I20" s="12" t="n">
        <x:f>SUMIFS(Inventory_Ledger!H:H,Inventory_Ledger!C:C,A20,Inventory_Ledger!E:E,"Adjustment")</x:f>
        <x:v>0</x:v>
      </x:c>
      <x:c r="J20" s="12" t="n">
        <x:f>SUMIFS(Inventory_Ledger!H:H,Inventory_Ledger!C:C,A20)</x:f>
        <x:v>0</x:v>
      </x:c>
      <x:c r="K20" s="12" t="str">
        <x:f>IF(G20=0,"",SUMIFS(Inventory_Ledger!J:J,Inventory_Ledger!C:C,A20,Inventory_Ledger!E:E,"Purchase In")/G20)</x:f>
      </x:c>
      <x:c r="L20" s="12" t="n">
        <x:f>IFERROR(J20*K20,0)</x:f>
        <x:v>0</x:v>
      </x:c>
      <x:c r="M20" s="12" t="str">
        <x:f>IF(J20&lt;0,"负库存",IF(J20=0,"缺货","正常"))</x:f>
        <x:v>缺货</x:v>
      </x:c>
      <x:c r="N20" s="12" t="str">
        <x:f>"数量口径=SKU数量；不做箱/盒/包换算"</x:f>
        <x:v>数量口径=SKU数量；不做箱/盒/包换算</x:v>
      </x:c>
    </x:row>
    <x:row r="21">
      <x:c r="A21" s="12" t="str">
        <x:v>TCG00020</x:v>
      </x:c>
      <x:c r="B21" s="12" t="str">
        <x:f>IFERROR(XLOOKUP(A21,SKU_Master!A:A,SKU_Master!B:B,""),"")</x:f>
        <x:v>Pokemon M4</x:v>
      </x:c>
      <x:c r="C21" s="12" t="str">
        <x:f>IFERROR(XLOOKUP(A21,SKU_Master!A:A,SKU_Master!C:C,""),"")</x:f>
      </x:c>
      <x:c r="D21" s="12" t="str">
        <x:f>IFERROR(XLOOKUP(A21,SKU_Master!A:A,SKU_Master!D:D,""),"")</x:f>
      </x:c>
      <x:c r="E21" s="12" t="n">
        <x:f>IFERROR(XLOOKUP(A21,SKU_Master!A:A,SKU_Master!E:E,""),"")</x:f>
        <x:v>0.01</x:v>
      </x:c>
      <x:c r="F21" s="12" t="n">
        <x:f>IFERROR(XLOOKUP(A21,SKU_Master!A:A,SKU_Master!F:F,""),"")</x:f>
        <x:v>0.022</x:v>
      </x:c>
      <x:c r="G21" s="12" t="n">
        <x:f>SUMIFS(Inventory_Ledger!F:F,Inventory_Ledger!C:C,A21)</x:f>
        <x:v>0</x:v>
      </x:c>
      <x:c r="H21" s="12" t="n">
        <x:f>SUMIFS(Inventory_Ledger!G:G,Inventory_Ledger!C:C,A21)</x:f>
        <x:v>0</x:v>
      </x:c>
      <x:c r="I21" s="12" t="n">
        <x:f>SUMIFS(Inventory_Ledger!H:H,Inventory_Ledger!C:C,A21,Inventory_Ledger!E:E,"Adjustment")</x:f>
        <x:v>0</x:v>
      </x:c>
      <x:c r="J21" s="12" t="n">
        <x:f>SUMIFS(Inventory_Ledger!H:H,Inventory_Ledger!C:C,A21)</x:f>
        <x:v>0</x:v>
      </x:c>
      <x:c r="K21" s="12" t="str">
        <x:f>IF(G21=0,"",SUMIFS(Inventory_Ledger!J:J,Inventory_Ledger!C:C,A21,Inventory_Ledger!E:E,"Purchase In")/G21)</x:f>
      </x:c>
      <x:c r="L21" s="12" t="n">
        <x:f>IFERROR(J21*K21,0)</x:f>
        <x:v>0</x:v>
      </x:c>
      <x:c r="M21" s="12" t="str">
        <x:f>IF(J21&lt;0,"负库存",IF(J21=0,"缺货","正常"))</x:f>
        <x:v>缺货</x:v>
      </x:c>
      <x:c r="N21" s="12" t="str">
        <x:f>"数量口径=SKU数量；不做箱/盒/包换算"</x:f>
        <x:v>数量口径=SKU数量；不做箱/盒/包换算</x:v>
      </x:c>
    </x:row>
    <x:row r="22">
      <x:c r="A22" s="12" t="str">
        <x:v>TCG00021</x:v>
      </x:c>
      <x:c r="B22" s="12" t="str">
        <x:f>IFERROR(XLOOKUP(A22,SKU_Master!A:A,SKU_Master!B:B,""),"")</x:f>
        <x:v>Pokemon SV8A</x:v>
      </x:c>
      <x:c r="C22" s="12" t="str">
        <x:f>IFERROR(XLOOKUP(A22,SKU_Master!A:A,SKU_Master!C:C,""),"")</x:f>
      </x:c>
      <x:c r="D22" s="12" t="str">
        <x:f>IFERROR(XLOOKUP(A22,SKU_Master!A:A,SKU_Master!D:D,""),"")</x:f>
      </x:c>
      <x:c r="E22" s="12" t="n">
        <x:f>IFERROR(XLOOKUP(A22,SKU_Master!A:A,SKU_Master!E:E,""),"")</x:f>
        <x:v>0.02</x:v>
      </x:c>
      <x:c r="F22" s="12" t="n">
        <x:f>IFERROR(XLOOKUP(A22,SKU_Master!A:A,SKU_Master!F:F,""),"")</x:f>
        <x:v>0.044</x:v>
      </x:c>
      <x:c r="G22" s="12" t="n">
        <x:f>SUMIFS(Inventory_Ledger!F:F,Inventory_Ledger!C:C,A22)</x:f>
        <x:v>0</x:v>
      </x:c>
      <x:c r="H22" s="12" t="n">
        <x:f>SUMIFS(Inventory_Ledger!G:G,Inventory_Ledger!C:C,A22)</x:f>
        <x:v>0</x:v>
      </x:c>
      <x:c r="I22" s="12" t="n">
        <x:f>SUMIFS(Inventory_Ledger!H:H,Inventory_Ledger!C:C,A22,Inventory_Ledger!E:E,"Adjustment")</x:f>
        <x:v>0</x:v>
      </x:c>
      <x:c r="J22" s="12" t="n">
        <x:f>SUMIFS(Inventory_Ledger!H:H,Inventory_Ledger!C:C,A22)</x:f>
        <x:v>0</x:v>
      </x:c>
      <x:c r="K22" s="12" t="str">
        <x:f>IF(G22=0,"",SUMIFS(Inventory_Ledger!J:J,Inventory_Ledger!C:C,A22,Inventory_Ledger!E:E,"Purchase In")/G22)</x:f>
      </x:c>
      <x:c r="L22" s="12" t="n">
        <x:f>IFERROR(J22*K22,0)</x:f>
        <x:v>0</x:v>
      </x:c>
      <x:c r="M22" s="12" t="str">
        <x:f>IF(J22&lt;0,"负库存",IF(J22=0,"缺货","正常"))</x:f>
        <x:v>缺货</x:v>
      </x:c>
      <x:c r="N22" s="12" t="str">
        <x:f>"数量口径=SKU数量；不做箱/盒/包换算"</x:f>
        <x:v>数量口径=SKU数量；不做箱/盒/包换算</x:v>
      </x:c>
    </x:row>
    <x:row r="23">
      <x:c r="A23" s="12" t="str">
        <x:v>TCG00022</x:v>
      </x:c>
      <x:c r="B23" s="12" t="str">
        <x:f>IFERROR(XLOOKUP(A23,SKU_Master!A:A,SKU_Master!B:B,""),"")</x:f>
        <x:v>Pokemon SV9</x:v>
      </x:c>
      <x:c r="C23" s="12" t="str">
        <x:f>IFERROR(XLOOKUP(A23,SKU_Master!A:A,SKU_Master!C:C,""),"")</x:f>
      </x:c>
      <x:c r="D23" s="12" t="str">
        <x:f>IFERROR(XLOOKUP(A23,SKU_Master!A:A,SKU_Master!D:D,""),"")</x:f>
      </x:c>
      <x:c r="E23" s="12" t="n">
        <x:f>IFERROR(XLOOKUP(A23,SKU_Master!A:A,SKU_Master!E:E,""),"")</x:f>
        <x:v>0.01</x:v>
      </x:c>
      <x:c r="F23" s="12" t="n">
        <x:f>IFERROR(XLOOKUP(A23,SKU_Master!A:A,SKU_Master!F:F,""),"")</x:f>
        <x:v>0.022</x:v>
      </x:c>
      <x:c r="G23" s="12" t="n">
        <x:f>SUMIFS(Inventory_Ledger!F:F,Inventory_Ledger!C:C,A23)</x:f>
        <x:v>0</x:v>
      </x:c>
      <x:c r="H23" s="12" t="n">
        <x:f>SUMIFS(Inventory_Ledger!G:G,Inventory_Ledger!C:C,A23)</x:f>
        <x:v>0</x:v>
      </x:c>
      <x:c r="I23" s="12" t="n">
        <x:f>SUMIFS(Inventory_Ledger!H:H,Inventory_Ledger!C:C,A23,Inventory_Ledger!E:E,"Adjustment")</x:f>
        <x:v>0</x:v>
      </x:c>
      <x:c r="J23" s="12" t="n">
        <x:f>SUMIFS(Inventory_Ledger!H:H,Inventory_Ledger!C:C,A23)</x:f>
        <x:v>0</x:v>
      </x:c>
      <x:c r="K23" s="12" t="str">
        <x:f>IF(G23=0,"",SUMIFS(Inventory_Ledger!J:J,Inventory_Ledger!C:C,A23,Inventory_Ledger!E:E,"Purchase In")/G23)</x:f>
      </x:c>
      <x:c r="L23" s="12" t="n">
        <x:f>IFERROR(J23*K23,0)</x:f>
        <x:v>0</x:v>
      </x:c>
      <x:c r="M23" s="12" t="str">
        <x:f>IF(J23&lt;0,"负库存",IF(J23=0,"缺货","正常"))</x:f>
        <x:v>缺货</x:v>
      </x:c>
      <x:c r="N23" s="12" t="str">
        <x:f>"数量口径=SKU数量；不做箱/盒/包换算"</x:f>
        <x:v>数量口径=SKU数量；不做箱/盒/包换算</x:v>
      </x:c>
    </x:row>
    <x:row r="24">
      <x:c r="A24" s="12" t="str">
        <x:v>01.1.0141</x:v>
      </x:c>
      <x:c r="B24" s="12" t="str">
        <x:f>IFERROR(XLOOKUP(A24,SKU_Master!A:A,SKU_Master!B:B,""),"")</x:f>
        <x:v>宝可梦集换式卡牌游戏 朱&amp;紫利刃猛醒(20张)15.0肥</x:v>
      </x:c>
      <x:c r="C24" s="12" t="str">
        <x:f>IFERROR(XLOOKUP(A24,SKU_Master!A:A,SKU_Master!C:C,""),"")</x:f>
      </x:c>
      <x:c r="D24" s="12" t="str">
        <x:f>IFERROR(XLOOKUP(A24,SKU_Master!A:A,SKU_Master!D:D,""),"")</x:f>
      </x:c>
      <x:c r="E24" s="12" t="n">
        <x:f>IFERROR(XLOOKUP(A24,SKU_Master!A:A,SKU_Master!E:E,""),"")</x:f>
        <x:v>0.03</x:v>
      </x:c>
      <x:c r="F24" s="12" t="n">
        <x:f>IFERROR(XLOOKUP(A24,SKU_Master!A:A,SKU_Master!F:F,""),"")</x:f>
        <x:v>0.066</x:v>
      </x:c>
      <x:c r="G24" s="12" t="n">
        <x:f>SUMIFS(Inventory_Ledger!F:F,Inventory_Ledger!C:C,A24)</x:f>
        <x:v>0</x:v>
      </x:c>
      <x:c r="H24" s="12" t="n">
        <x:f>SUMIFS(Inventory_Ledger!G:G,Inventory_Ledger!C:C,A24)</x:f>
        <x:v>0</x:v>
      </x:c>
      <x:c r="I24" s="12" t="n">
        <x:f>SUMIFS(Inventory_Ledger!H:H,Inventory_Ledger!C:C,A24,Inventory_Ledger!E:E,"Adjustment")</x:f>
        <x:v>0</x:v>
      </x:c>
      <x:c r="J24" s="12" t="n">
        <x:f>SUMIFS(Inventory_Ledger!H:H,Inventory_Ledger!C:C,A24)</x:f>
        <x:v>0</x:v>
      </x:c>
      <x:c r="K24" s="12" t="str">
        <x:f>IF(G24=0,"",SUMIFS(Inventory_Ledger!J:J,Inventory_Ledger!C:C,A24,Inventory_Ledger!E:E,"Purchase In")/G24)</x:f>
      </x:c>
      <x:c r="L24" s="12" t="n">
        <x:f>IFERROR(J24*K24,0)</x:f>
        <x:v>0</x:v>
      </x:c>
      <x:c r="M24" s="12" t="str">
        <x:f>IF(J24&lt;0,"负库存",IF(J24=0,"缺货","正常"))</x:f>
        <x:v>缺货</x:v>
      </x:c>
      <x:c r="N24" s="12" t="str">
        <x:f>"数量口径=SKU数量；不做箱/盒/包换算"</x:f>
        <x:v>数量口径=SKU数量；不做箱/盒/包换算</x:v>
      </x:c>
    </x:row>
    <x:row r="25">
      <x:c r="A25" s="12" t="str">
        <x:v>01.1.0140</x:v>
      </x:c>
      <x:c r="B25" s="12" t="str">
        <x:f>IFERROR(XLOOKUP(A25,SKU_Master!A:A,SKU_Master!B:B,""),"")</x:f>
        <x:v>宝可梦集换式卡牌游戏 朱&amp;紫利刃猛醒(5张)15.0瘦</x:v>
      </x:c>
      <x:c r="C25" s="12" t="str">
        <x:f>IFERROR(XLOOKUP(A25,SKU_Master!A:A,SKU_Master!C:C,""),"")</x:f>
      </x:c>
      <x:c r="D25" s="12" t="str">
        <x:f>IFERROR(XLOOKUP(A25,SKU_Master!A:A,SKU_Master!D:D,""),"")</x:f>
      </x:c>
      <x:c r="E25" s="12" t="n">
        <x:f>IFERROR(XLOOKUP(A25,SKU_Master!A:A,SKU_Master!E:E,""),"")</x:f>
        <x:v>0.01</x:v>
      </x:c>
      <x:c r="F25" s="12" t="n">
        <x:f>IFERROR(XLOOKUP(A25,SKU_Master!A:A,SKU_Master!F:F,""),"")</x:f>
        <x:v>0.022</x:v>
      </x:c>
      <x:c r="G25" s="12" t="n">
        <x:f>SUMIFS(Inventory_Ledger!F:F,Inventory_Ledger!C:C,A25)</x:f>
        <x:v>0</x:v>
      </x:c>
      <x:c r="H25" s="12" t="n">
        <x:f>SUMIFS(Inventory_Ledger!G:G,Inventory_Ledger!C:C,A25)</x:f>
        <x:v>0</x:v>
      </x:c>
      <x:c r="I25" s="12" t="n">
        <x:f>SUMIFS(Inventory_Ledger!H:H,Inventory_Ledger!C:C,A25,Inventory_Ledger!E:E,"Adjustment")</x:f>
        <x:v>0</x:v>
      </x:c>
      <x:c r="J25" s="12" t="n">
        <x:f>SUMIFS(Inventory_Ledger!H:H,Inventory_Ledger!C:C,A25)</x:f>
        <x:v>0</x:v>
      </x:c>
      <x:c r="K25" s="12" t="str">
        <x:f>IF(G25=0,"",SUMIFS(Inventory_Ledger!J:J,Inventory_Ledger!C:C,A25,Inventory_Ledger!E:E,"Purchase In")/G25)</x:f>
      </x:c>
      <x:c r="L25" s="12" t="n">
        <x:f>IFERROR(J25*K25,0)</x:f>
        <x:v>0</x:v>
      </x:c>
      <x:c r="M25" s="12" t="str">
        <x:f>IF(J25&lt;0,"负库存",IF(J25=0,"缺货","正常"))</x:f>
        <x:v>缺货</x:v>
      </x:c>
      <x:c r="N25" s="12" t="str">
        <x:f>"数量口径=SKU数量；不做箱/盒/包换算"</x:f>
        <x:v>数量口径=SKU数量；不做箱/盒/包换算</x:v>
      </x:c>
    </x:row>
    <x:row r="26">
      <x:c r="A26" s="12" t="str">
        <x:v>01.1.0152</x:v>
      </x:c>
      <x:c r="B26" s="12" t="str">
        <x:f>IFERROR(XLOOKUP(A26,SKU_Master!A:A,SKU_Master!B:B,""),"")</x:f>
        <x:v>宝可梦集换式卡牌游戏朱&amp;紫星彩晶璃(5张)17.0瘦</x:v>
      </x:c>
      <x:c r="C26" s="12" t="str">
        <x:f>IFERROR(XLOOKUP(A26,SKU_Master!A:A,SKU_Master!C:C,""),"")</x:f>
      </x:c>
      <x:c r="D26" s="12" t="str">
        <x:f>IFERROR(XLOOKUP(A26,SKU_Master!A:A,SKU_Master!D:D,""),"")</x:f>
      </x:c>
      <x:c r="E26" s="12" t="n">
        <x:f>IFERROR(XLOOKUP(A26,SKU_Master!A:A,SKU_Master!E:E,""),"")</x:f>
        <x:v>0.01</x:v>
      </x:c>
      <x:c r="F26" s="12" t="n">
        <x:f>IFERROR(XLOOKUP(A26,SKU_Master!A:A,SKU_Master!F:F,""),"")</x:f>
        <x:v>0.022</x:v>
      </x:c>
      <x:c r="G26" s="12" t="n">
        <x:f>SUMIFS(Inventory_Ledger!F:F,Inventory_Ledger!C:C,A26)</x:f>
        <x:v>0</x:v>
      </x:c>
      <x:c r="H26" s="12" t="n">
        <x:f>SUMIFS(Inventory_Ledger!G:G,Inventory_Ledger!C:C,A26)</x:f>
        <x:v>0</x:v>
      </x:c>
      <x:c r="I26" s="12" t="n">
        <x:f>SUMIFS(Inventory_Ledger!H:H,Inventory_Ledger!C:C,A26,Inventory_Ledger!E:E,"Adjustment")</x:f>
        <x:v>0</x:v>
      </x:c>
      <x:c r="J26" s="12" t="n">
        <x:f>SUMIFS(Inventory_Ledger!H:H,Inventory_Ledger!C:C,A26)</x:f>
        <x:v>0</x:v>
      </x:c>
      <x:c r="K26" s="12" t="str">
        <x:f>IF(G26=0,"",SUMIFS(Inventory_Ledger!J:J,Inventory_Ledger!C:C,A26,Inventory_Ledger!E:E,"Purchase In")/G26)</x:f>
      </x:c>
      <x:c r="L26" s="12" t="n">
        <x:f>IFERROR(J26*K26,0)</x:f>
        <x:v>0</x:v>
      </x:c>
      <x:c r="M26" s="12" t="str">
        <x:f>IF(J26&lt;0,"负库存",IF(J26=0,"缺货","正常"))</x:f>
        <x:v>缺货</x:v>
      </x:c>
      <x:c r="N26" s="12" t="str">
        <x:f>"数量口径=SKU数量；不做箱/盒/包换算"</x:f>
        <x:v>数量口径=SKU数量；不做箱/盒/包换算</x:v>
      </x:c>
    </x:row>
    <x:row r="27">
      <x:c r="A27" s="12" t="str">
        <x:v>TCG00001</x:v>
      </x:c>
      <x:c r="B27" s="12" t="str">
        <x:f>IFERROR(XLOOKUP(A27,SKU_Master!A:A,SKU_Master!B:B,""),"")</x:f>
        <x:v>Pokemon Gem Pack Vol.2</x:v>
      </x:c>
      <x:c r="C27" s="12" t="str">
        <x:f>IFERROR(XLOOKUP(A27,SKU_Master!A:A,SKU_Master!C:C,""),"")</x:f>
        <x:v>Pack</x:v>
      </x:c>
      <x:c r="D27" s="12" t="str">
        <x:f>IFERROR(XLOOKUP(A27,SKU_Master!A:A,SKU_Master!D:D,""),"")</x:f>
      </x:c>
      <x:c r="E27" s="12" t="str">
        <x:f>IFERROR(XLOOKUP(A27,SKU_Master!A:A,SKU_Master!E:E,""),"")</x:f>
      </x:c>
      <x:c r="F27" s="12" t="str">
        <x:f>IFERROR(XLOOKUP(A27,SKU_Master!A:A,SKU_Master!F:F,""),"")</x:f>
      </x:c>
      <x:c r="G27" s="12" t="n">
        <x:f>SUMIFS(Inventory_Ledger!F:F,Inventory_Ledger!C:C,A27)</x:f>
        <x:v>1120</x:v>
      </x:c>
      <x:c r="H27" s="12" t="n">
        <x:f>SUMIFS(Inventory_Ledger!G:G,Inventory_Ledger!C:C,A27)</x:f>
        <x:v>2</x:v>
      </x:c>
      <x:c r="I27" s="12" t="n">
        <x:f>SUMIFS(Inventory_Ledger!H:H,Inventory_Ledger!C:C,A27,Inventory_Ledger!E:E,"Adjustment")</x:f>
        <x:v>0</x:v>
      </x:c>
      <x:c r="J27" s="12" t="n">
        <x:f>SUMIFS(Inventory_Ledger!H:H,Inventory_Ledger!C:C,A27)</x:f>
        <x:v>1118</x:v>
      </x:c>
      <x:c r="K27" s="12" t="n">
        <x:f>IF(G27=0,"",SUMIFS(Inventory_Ledger!J:J,Inventory_Ledger!C:C,A27,Inventory_Ledger!E:E,"Purchase In")/G27)</x:f>
        <x:v>0.10089285714285715</x:v>
      </x:c>
      <x:c r="L27" s="12" t="n">
        <x:f>IFERROR(J27*K27,0)</x:f>
        <x:v>112.7982142857143</x:v>
      </x:c>
      <x:c r="M27" s="12" t="str">
        <x:f>IF(J27&lt;0,"负库存",IF(J27=0,"缺货","正常"))</x:f>
        <x:v>正常</x:v>
      </x:c>
      <x:c r="N27" s="12" t="str">
        <x:f>"数量口径=SKU数量；不做箱/盒/包换算"</x:f>
        <x:v>数量口径=SKU数量；不做箱/盒/包换算</x:v>
      </x:c>
    </x:row>
    <x:row r="28">
      <x:c r="A28" s="12" t="str">
        <x:v>TCG00002</x:v>
      </x:c>
      <x:c r="B28" s="12" t="str">
        <x:f>IFERROR(XLOOKUP(A28,SKU_Master!A:A,SKU_Master!B:B,""),"")</x:f>
        <x:v>Pokemon Gem Pack Vol.5 Box</x:v>
      </x:c>
      <x:c r="C28" s="12" t="str">
        <x:f>IFERROR(XLOOKUP(A28,SKU_Master!A:A,SKU_Master!C:C,""),"")</x:f>
        <x:v>Box</x:v>
      </x:c>
      <x:c r="D28" s="12" t="str">
        <x:f>IFERROR(XLOOKUP(A28,SKU_Master!A:A,SKU_Master!D:D,""),"")</x:f>
      </x:c>
      <x:c r="E28" s="12" t="str">
        <x:f>IFERROR(XLOOKUP(A28,SKU_Master!A:A,SKU_Master!E:E,""),"")</x:f>
      </x:c>
      <x:c r="F28" s="12" t="str">
        <x:f>IFERROR(XLOOKUP(A28,SKU_Master!A:A,SKU_Master!F:F,""),"")</x:f>
      </x:c>
      <x:c r="G28" s="12" t="n">
        <x:f>SUMIFS(Inventory_Ledger!F:F,Inventory_Ledger!C:C,A28)</x:f>
        <x:v>0</x:v>
      </x:c>
      <x:c r="H28" s="12" t="n">
        <x:f>SUMIFS(Inventory_Ledger!G:G,Inventory_Ledger!C:C,A28)</x:f>
        <x:v>0</x:v>
      </x:c>
      <x:c r="I28" s="12" t="n">
        <x:f>SUMIFS(Inventory_Ledger!H:H,Inventory_Ledger!C:C,A28,Inventory_Ledger!E:E,"Adjustment")</x:f>
        <x:v>0</x:v>
      </x:c>
      <x:c r="J28" s="12" t="n">
        <x:f>SUMIFS(Inventory_Ledger!H:H,Inventory_Ledger!C:C,A28)</x:f>
        <x:v>0</x:v>
      </x:c>
      <x:c r="K28" s="12" t="str">
        <x:f>IF(G28=0,"",SUMIFS(Inventory_Ledger!J:J,Inventory_Ledger!C:C,A28,Inventory_Ledger!E:E,"Purchase In")/G28)</x:f>
      </x:c>
      <x:c r="L28" s="12" t="n">
        <x:f>IFERROR(J28*K28,0)</x:f>
        <x:v>0</x:v>
      </x:c>
      <x:c r="M28" s="12" t="str">
        <x:f>IF(J28&lt;0,"负库存",IF(J28=0,"缺货","正常"))</x:f>
        <x:v>缺货</x:v>
      </x:c>
      <x:c r="N28" s="12" t="str">
        <x:f>"数量口径=SKU数量；不做箱/盒/包换算"</x:f>
        <x:v>数量口径=SKU数量；不做箱/盒/包换算</x:v>
      </x:c>
    </x:row>
  </x:sheetData>
  <x:pageMargins left="0.7" right="0.7" top="0.75" bottom="0.75" header="0.3" footer="0.3"/>
  <x:tableParts count="1">
    <x:tablePart xmlns:r="http://schemas.openxmlformats.org/officeDocument/2006/relationships" r:id="R2ddd20d2e6ef4e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8" hidden="0" customWidth="1"/>
    <x:col min="19" max="19" width="14" hidden="0" customWidth="1"/>
    <x:col min="20" max="20" width="28" hidden="0" customWidth="1"/>
    <x:col min="21" max="21" width="28" hidden="0" customWidth="1"/>
    <x:col min="22" max="22" width="28" hidden="0" customWidth="1"/>
    <x:col min="23" max="23" width="18" hidden="0" customWidth="1"/>
    <x:col min="24" max="24" width="14" hidden="0" customWidth="1"/>
    <x:col min="25" max="25" width="14" hidden="0" customWidth="1"/>
  </x:cols>
  <x:sheetData>
    <x:row r="1" ht="28" customHeight="1">
      <x:c r="A1" s="6" t="str">
        <x:v>Platform</x:v>
      </x:c>
      <x:c r="B1" s="6" t="str">
        <x:v>Shop_Name</x:v>
      </x:c>
      <x:c r="C1" s="6" t="str">
        <x:v>Order ID</x:v>
      </x:c>
      <x:c r="D1" s="6" t="str">
        <x:v>Standard_Order_ID</x:v>
      </x:c>
      <x:c r="E1" s="6" t="str">
        <x:v>Order Status</x:v>
      </x:c>
      <x:c r="F1" s="6" t="str">
        <x:v>Created Time Raw</x:v>
      </x:c>
      <x:c r="G1" s="6" t="str">
        <x:v>Created Time UTC</x:v>
      </x:c>
      <x:c r="H1" s="6" t="str">
        <x:v>Created Time Business TZ</x:v>
      </x:c>
      <x:c r="I1" s="6" t="str">
        <x:v>Source_Timezone</x:v>
      </x:c>
      <x:c r="J1" s="6" t="str">
        <x:v>Parsed_Time_Status</x:v>
      </x:c>
      <x:c r="K1" s="14" t="str">
        <x:v>Order Amount_USD</x:v>
      </x:c>
      <x:c r="L1" s="14" t="str">
        <x:v>Order Refund Amount_USD</x:v>
      </x:c>
      <x:c r="M1" s="6" t="str">
        <x:v>Buyer Username</x:v>
      </x:c>
      <x:c r="N1" s="6" t="str">
        <x:v>Country</x:v>
      </x:c>
      <x:c r="O1" s="6" t="str">
        <x:v>State</x:v>
      </x:c>
      <x:c r="P1" s="6" t="str">
        <x:v>City</x:v>
      </x:c>
      <x:c r="Q1" s="16" t="str">
        <x:v>Weight_KG</x:v>
      </x:c>
      <x:c r="R1" s="6" t="str">
        <x:v>Seller Note Raw</x:v>
      </x:c>
      <x:c r="S1" s="6" t="str">
        <x:v>Company_Code</x:v>
      </x:c>
      <x:c r="T1" s="6" t="str">
        <x:v>Host_Name</x:v>
      </x:c>
      <x:c r="U1" s="6" t="str">
        <x:v>Seller_Note_Parse_Status</x:v>
      </x:c>
      <x:c r="V1" s="6" t="str">
        <x:v>Seller_Note_Parse_Note</x:v>
      </x:c>
      <x:c r="W1" s="6" t="str">
        <x:v>Import Batch ID</x:v>
      </x:c>
      <x:c r="X1" s="6" t="str">
        <x:v>Source File</x:v>
      </x:c>
      <x:c r="Y1" s="6" t="str">
        <x:v>Data Quality Flag</x:v>
      </x:c>
    </x:row>
    <x:row r="2">
      <x:c r="A2" s="12" t="str">
        <x:v>TikTok</x:v>
      </x:c>
      <x:c r="B2" s="12" t="str">
        <x:v>TikTok_US_MAIN</x:v>
      </x:c>
      <x:c r="C2" s="12" t="str">
        <x:v>ORDER_EXAMPLE</x:v>
      </x:c>
      <x:c r="D2" s="12" t="str">
        <x:v>TikTok:TikTok_US_MAIN:ORDER_EXAMPLE</x:v>
      </x:c>
      <x:c r="E2" s="12" t="str">
        <x:v>Paid</x:v>
      </x:c>
      <x:c r="F2" s="12" t="str">
        <x:v>05/24/2026 9:58:16 PM</x:v>
      </x:c>
      <x:c r="G2" s="12" t="str"/>
      <x:c r="H2" s="12" t="str"/>
      <x:c r="I2" s="12" t="str">
        <x:v>America/Los_Angeles</x:v>
      </x:c>
      <x:c r="J2" s="12" t="str">
        <x:v>Parsed</x:v>
      </x:c>
      <x:c r="K2" s="12" t="n">
        <x:v>100</x:v>
      </x:c>
      <x:c r="L2" s="12" t="n">
        <x:v>0</x:v>
      </x:c>
      <x:c r="M2" s="12" t="str">
        <x:v>buyer_001</x:v>
      </x:c>
      <x:c r="N2" s="12" t="str">
        <x:v>US</x:v>
      </x:c>
      <x:c r="O2" s="12" t="str">
        <x:v>CA</x:v>
      </x:c>
      <x:c r="P2" s="12" t="str">
        <x:v>LA</x:v>
      </x:c>
      <x:c r="Q2" s="12" t="n">
        <x:v>0.2</x:v>
      </x:c>
      <x:c r="R2" s="12" t="str">
        <x:v>#VLG
#Cammie
#TCG00001 2</x:v>
      </x:c>
      <x:c r="S2" s="12" t="str">
        <x:v>VLG</x:v>
      </x:c>
      <x:c r="T2" s="12" t="str">
        <x:v>Cammie</x:v>
      </x:c>
      <x:c r="U2" s="12" t="str">
        <x:v>Parsed</x:v>
      </x:c>
      <x:c r="V2" s="12" t="str">
        <x:v>示例：第1行公司，第2行主播，第3行起为SKU数量</x:v>
      </x:c>
      <x:c r="W2" s="12" t="str">
        <x:v>Demo</x:v>
      </x:c>
      <x:c r="X2" s="12" t="str">
        <x:v>Manual Example</x:v>
      </x:c>
      <x:c r="Y2" s="12" t="str"/>
    </x:row>
  </x:sheetData>
  <x:pageMargins left="0.7" right="0.7" top="0.75" bottom="0.75" header="0.3" footer="0.3"/>
  <x:tableParts count="1">
    <x:tablePart xmlns:r="http://schemas.openxmlformats.org/officeDocument/2006/relationships" r:id="Rb24cf108528448c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28" hidden="0" customWidth="1"/>
    <x:col min="8" max="8" width="18" hidden="0" customWidth="1"/>
    <x:col min="9" max="9" width="2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28" hidden="0" customWidth="1"/>
    <x:col min="16" max="16" width="14" hidden="0" customWidth="1"/>
    <x:col min="17" max="17" width="14" hidden="0" customWidth="1"/>
    <x:col min="18" max="18" width="28" hidden="0" customWidth="1"/>
    <x:col min="19" max="19" width="18" hidden="0" customWidth="1"/>
  </x:cols>
  <x:sheetData>
    <x:row r="1" ht="28" customHeight="1">
      <x:c r="A1" s="6" t="str">
        <x:v>Order_Line_ID</x:v>
      </x:c>
      <x:c r="B1" s="6" t="str">
        <x:v>Platform</x:v>
      </x:c>
      <x:c r="C1" s="6" t="str">
        <x:v>Shop_Name</x:v>
      </x:c>
      <x:c r="D1" s="6" t="str">
        <x:v>Standard_Order_ID</x:v>
      </x:c>
      <x:c r="E1" s="6" t="str">
        <x:v>Order ID</x:v>
      </x:c>
      <x:c r="F1" s="6" t="str">
        <x:v>Company_Code</x:v>
      </x:c>
      <x:c r="G1" s="6" t="str">
        <x:v>Host_Name</x:v>
      </x:c>
      <x:c r="H1" s="6" t="str">
        <x:v>SKU_ID</x:v>
      </x:c>
      <x:c r="I1" s="6" t="str">
        <x:v>SKU_Name</x:v>
      </x:c>
      <x:c r="J1" s="20" t="str">
        <x:v>Quantity</x:v>
      </x:c>
      <x:c r="K1" s="14" t="str">
        <x:v>Unit_Price_USD</x:v>
      </x:c>
      <x:c r="L1" s="14" t="str">
        <x:v>Line_GMV_USD</x:v>
      </x:c>
      <x:c r="M1" s="14" t="str">
        <x:v>Unit_Cost_USD</x:v>
      </x:c>
      <x:c r="N1" s="14" t="str">
        <x:v>Total_Product_Cost_USD</x:v>
      </x:c>
      <x:c r="O1" s="6" t="str">
        <x:v>Seller_Note_Line</x:v>
      </x:c>
      <x:c r="P1" s="6" t="str">
        <x:v>Parse_Source</x:v>
      </x:c>
      <x:c r="Q1" s="6" t="str">
        <x:v>Parse_Status</x:v>
      </x:c>
      <x:c r="R1" s="6" t="str">
        <x:v>Parse_Note</x:v>
      </x:c>
      <x:c r="S1" s="6" t="str">
        <x:v>Import Batch ID</x:v>
      </x:c>
    </x:row>
    <x:row r="2">
      <x:c r="A2" s="12" t="str">
        <x:v>TikTok:TikTok_US_MAIN:ORDER_EXAMPLE:TCG00001:1</x:v>
      </x:c>
      <x:c r="B2" s="12" t="str">
        <x:v>TikTok</x:v>
      </x:c>
      <x:c r="C2" s="12" t="str">
        <x:v>TikTok_US_MAIN</x:v>
      </x:c>
      <x:c r="D2" s="12" t="str">
        <x:v>TikTok:TikTok_US_MAIN:ORDER_EXAMPLE</x:v>
      </x:c>
      <x:c r="E2" s="12" t="str">
        <x:v>ORDER_EXAMPLE</x:v>
      </x:c>
      <x:c r="F2" s="12" t="str">
        <x:v>VLG</x:v>
      </x:c>
      <x:c r="G2" s="12" t="str">
        <x:v>Cammie</x:v>
      </x:c>
      <x:c r="H2" s="12" t="str">
        <x:v>TCG00001</x:v>
      </x:c>
      <x:c r="I2" s="12" t="str">
        <x:v>Pokemon Gem Pack Vol.2</x:v>
      </x:c>
      <x:c r="J2" s="12" t="n">
        <x:v>2</x:v>
      </x:c>
      <x:c r="K2" s="12" t="n">
        <x:v>50</x:v>
      </x:c>
      <x:c r="L2" s="12" t="n">
        <x:v>100</x:v>
      </x:c>
      <x:c r="M2" s="12"/>
      <x:c r="N2" s="12"/>
      <x:c r="O2" s="12" t="str">
        <x:v>#TCG00001 2</x:v>
      </x:c>
      <x:c r="P2" s="12" t="str">
        <x:v>Seller Note</x:v>
      </x:c>
      <x:c r="Q2" s="12" t="str">
        <x:v>Parsed</x:v>
      </x:c>
      <x:c r="R2" s="12" t="str">
        <x:v>数量=SKU数量，库存直接扣减2</x:v>
      </x:c>
      <x:c r="S2" s="12" t="str">
        <x:v>Demo</x:v>
      </x:c>
    </x:row>
  </x:sheetData>
  <x:pageMargins left="0.7" right="0.7" top="0.75" bottom="0.75" header="0.3" footer="0.3"/>
  <x:tableParts count="1">
    <x:tablePart xmlns:r="http://schemas.openxmlformats.org/officeDocument/2006/relationships" r:id="R773ab3f87910467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8" customHeight="1">
      <x:c r="A1" s="6" t="str">
        <x:v>Import_Batch_ID</x:v>
      </x:c>
      <x:c r="B1" s="6" t="str">
        <x:v>Import_Type</x:v>
      </x:c>
      <x:c r="C1" s="6" t="str">
        <x:v>Platform</x:v>
      </x:c>
      <x:c r="D1" s="6" t="str">
        <x:v>Source_File</x:v>
      </x:c>
      <x:c r="E1" s="6" t="str">
        <x:v>Import_Time</x:v>
      </x:c>
      <x:c r="F1" s="6" t="str">
        <x:v>Source_Row_Count</x:v>
      </x:c>
      <x:c r="G1" s="6" t="str">
        <x:v>Success_Row_Count</x:v>
      </x:c>
      <x:c r="H1" s="6" t="str">
        <x:v>Failed_Row_Count</x:v>
      </x:c>
      <x:c r="I1" s="6" t="str">
        <x:v>Duplicate_Row_Count</x:v>
      </x:c>
      <x:c r="J1" s="6" t="str">
        <x:v>Import_Status</x:v>
      </x:c>
      <x:c r="K1" s="6" t="str">
        <x:v>Error_Message</x:v>
      </x:c>
    </x:row>
    <x:row r="2">
      <x:c r="A2" s="12" t="str">
        <x:v>Manual_Template_v3</x:v>
      </x:c>
      <x:c r="B2" s="12" t="str">
        <x:v>Template</x:v>
      </x:c>
      <x:c r="C2" s="12" t="str"/>
      <x:c r="D2" s="12" t="str"/>
      <x:c r="E2" s="12" t="str">
        <x:v>2026-05-27 03:59:17</x:v>
      </x:c>
      <x:c r="F2" s="12" t="n">
        <x:v>0</x:v>
      </x:c>
      <x:c r="G2" s="12" t="n">
        <x:v>0</x:v>
      </x:c>
      <x:c r="H2" s="12" t="n">
        <x:v>0</x:v>
      </x:c>
      <x:c r="I2" s="12" t="n">
        <x:v>0</x:v>
      </x:c>
      <x:c r="J2" s="12" t="str">
        <x:v>Success</x:v>
      </x:c>
      <x:c r="K2" s="12" t="str"/>
    </x:row>
  </x:sheetData>
  <x:pageMargins left="0.7" right="0.7" top="0.75" bottom="0.75" header="0.3" footer="0.3"/>
  <x:tableParts count="1">
    <x:tablePart xmlns:r="http://schemas.openxmlformats.org/officeDocument/2006/relationships" r:id="R20271aee1ace471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6" t="str">
        <x:v>Exception_ID</x:v>
      </x:c>
      <x:c r="B1" s="6" t="str">
        <x:v>Import Batch ID</x:v>
      </x:c>
      <x:c r="C1" s="6" t="str">
        <x:v>Module</x:v>
      </x:c>
      <x:c r="D1" s="6" t="str">
        <x:v>Severity</x:v>
      </x:c>
      <x:c r="E1" s="6" t="str">
        <x:v>Object_Type</x:v>
      </x:c>
      <x:c r="F1" s="6" t="str">
        <x:v>Object_ID</x:v>
      </x:c>
      <x:c r="G1" s="6" t="str">
        <x:v>Exception_Type</x:v>
      </x:c>
      <x:c r="H1" s="6" t="str">
        <x:v>Exception_Detail</x:v>
      </x:c>
      <x:c r="I1" s="6" t="str">
        <x:v>Suggested_Action</x:v>
      </x:c>
    </x:row>
  </x:sheetData>
  <x:pageMargins left="0.7" right="0.7" top="0.75" bottom="0.75" header="0.3" footer="0.3"/>
  <x:tableParts count="1">
    <x:tablePart xmlns:r="http://schemas.openxmlformats.org/officeDocument/2006/relationships" r:id="Rfe58d290d519413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8" customHeight="1">
      <x:c r="A1" s="6" t="str">
        <x:v>Sheet</x:v>
      </x:c>
      <x:c r="B1" s="6" t="str">
        <x:v>Field</x:v>
      </x:c>
      <x:c r="C1" s="6" t="str">
        <x:v>Meaning</x:v>
      </x:c>
      <x:c r="D1" s="6" t="str">
        <x:v>Rule</x:v>
      </x:c>
    </x:row>
    <x:row r="2">
      <x:c r="A2" s="12" t="str">
        <x:v>SKU_Master</x:v>
      </x:c>
      <x:c r="B2" s="12" t="str">
        <x:v>SKU_ID</x:v>
      </x:c>
      <x:c r="C2" s="12" t="str">
        <x:v>可销售单位的唯一编码</x:v>
      </x:c>
      <x:c r="D2" s="12" t="str">
        <x:v>一个SKU就是一个可销售单位；平台销售单位不同就新建SKU</x:v>
      </x:c>
    </x:row>
    <x:row r="3">
      <x:c r="A3" s="12" t="str">
        <x:v>SKU_Master</x:v>
      </x:c>
      <x:c r="B3" s="12" t="str">
        <x:v>Min_Sales_Unit_Spec</x:v>
      </x:c>
      <x:c r="C3" s="12" t="str">
        <x:v>该SKU代表的销售规格</x:v>
      </x:c>
      <x:c r="D3" s="12" t="str">
        <x:v>例如 Pack/Box/Carton/Single Card</x:v>
      </x:c>
    </x:row>
    <x:row r="4">
      <x:c r="A4" s="12" t="str">
        <x:v>Purchase_Inbound</x:v>
      </x:c>
      <x:c r="B4" s="12" t="str">
        <x:v>Purchase_Qty</x:v>
      </x:c>
      <x:c r="C4" s="12" t="str">
        <x:v>采购数量</x:v>
      </x:c>
      <x:c r="D4" s="12" t="str">
        <x:v>直接填写SKU数量，不进行箱/盒/包折算</x:v>
      </x:c>
    </x:row>
    <x:row r="5">
      <x:c r="A5" s="12" t="str">
        <x:v>Order_Line</x:v>
      </x:c>
      <x:c r="B5" s="12" t="str">
        <x:v>Quantity</x:v>
      </x:c>
      <x:c r="C5" s="12" t="str">
        <x:v>销售数量</x:v>
      </x:c>
      <x:c r="D5" s="12" t="str">
        <x:v>来自Seller Note，直接代表SKU数量</x:v>
      </x:c>
    </x:row>
    <x:row r="6">
      <x:c r="A6" s="12" t="str">
        <x:v>Inventory_Ledger</x:v>
      </x:c>
      <x:c r="B6" s="12" t="str">
        <x:v>Qty_Net</x:v>
      </x:c>
      <x:c r="C6" s="12" t="str">
        <x:v>库存净变化</x:v>
      </x:c>
      <x:c r="D6" s="12" t="str">
        <x:v>采购入库为正，销售出库为负</x:v>
      </x:c>
    </x:row>
    <x:row r="7">
      <x:c r="A7" s="12" t="str">
        <x:v>Current_Inventory</x:v>
      </x:c>
      <x:c r="B7" s="12" t="str">
        <x:v>Current_Qty</x:v>
      </x:c>
      <x:c r="C7" s="12" t="str">
        <x:v>当前库存</x:v>
      </x:c>
      <x:c r="D7" s="12" t="str">
        <x:v>按SKU聚合Inventory_Ledger的Qty_Net</x:v>
      </x:c>
    </x:row>
  </x:sheetData>
  <x:pageMargins left="0.7" right="0.7" top="0.75" bottom="0.75" header="0.3" footer="0.3"/>
  <x:tableParts count="1">
    <x:tablePart xmlns:r="http://schemas.openxmlformats.org/officeDocument/2006/relationships" r:id="Rad6f657a8db54fe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4" t="str">
        <x:v>VLG-TCG Excel Data Warehouse v3 - 简化SKU销售单位版</x:v>
      </x:c>
    </x:row>
    <x:row r="2">
      <x:c r="A2" s="12" t="str"/>
    </x:row>
    <x:row r="3">
      <x:c r="A3" s="12" t="str">
        <x:v>核心修改：</x:v>
      </x:c>
    </x:row>
    <x:row r="4">
      <x:c r="A4" s="12" t="str">
        <x:v>1. 一个SKU就是一个可销售单位；不再在系统中折算箱/盒/包/单卡。</x:v>
      </x:c>
    </x:row>
    <x:row r="5">
      <x:c r="A5" s="12" t="str">
        <x:v>2. TikTok如果按包销售，就建一个“包”SKU；eBay如果按盒销售，就另建一个“盒”SKU。</x:v>
      </x:c>
    </x:row>
    <x:row r="6">
      <x:c r="A6" s="12" t="str">
        <x:v>3. Seller Note中的SKU和数量，直接写入Order_Line，并直接生成库存扣减。</x:v>
      </x:c>
    </x:row>
    <x:row r="7">
      <x:c r="A7" s="12" t="str">
        <x:v>4. SKU_Master只保留SKU名称、销售单位规格、美元售价、KG、LB等基础信息。</x:v>
      </x:c>
    </x:row>
    <x:row r="8">
      <x:c r="A8" s="12" t="str">
        <x:v>5. Purchase_Inbound所有金额均按USD维护，数量也是SKU数量。</x:v>
      </x:c>
    </x:row>
    <x:row r="9">
      <x:c r="A9" s="12" t="str">
        <x:v>6. Current_Inventory按Inventory_Ledger汇总，不做任何销售单位换算。</x:v>
      </x:c>
    </x:row>
    <x:row r="10">
      <x:c r="A10" s="12" t="str"/>
    </x:row>
    <x:row r="11">
      <x:c r="A11" s="12" t="str">
        <x:v>Seller Note示例：</x:v>
      </x:c>
    </x:row>
    <x:row r="12">
      <x:c r="A12" s="12" t="str">
        <x:v>#VLG</x:v>
      </x:c>
    </x:row>
    <x:row r="13">
      <x:c r="A13" s="12" t="str">
        <x:v>#Cammie</x:v>
      </x:c>
    </x:row>
    <x:row r="14">
      <x:c r="A14" s="12" t="str">
        <x:v>#TCG00001 2</x:v>
      </x:c>
    </x:row>
    <x:row r="15">
      <x:c r="A15" s="12" t="str">
        <x:v>#TCG00002 3</x:v>
      </x:c>
    </x:row>
  </x:sheetData>
  <x:pageMargins left="0.7" right="0.7" top="0.75" bottom="0.75" header="0.3" footer="0.3"/>
</x:worksheet>
</file>